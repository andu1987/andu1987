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" sheetId="2" state="visible" r:id="rId4"/>
    <sheet name="Annual" sheetId="3" state="visible" r:id="rId5"/>
    <sheet name="Returns" sheetId="4" state="visible" r:id="rId6"/>
    <sheet name="Unit_BreakEv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<sst xmlns="http://schemas.openxmlformats.org/spreadsheetml/2006/main" count="541" uniqueCount="372">
  <si>
    <t xml:space="preserve">Integrated Vermicompost Unit (proposed new component) - Assumptions (all values in ETB unless stated)</t>
  </si>
  <si>
    <t xml:space="preserve">Entirely new planning component: the original document is a poultry pilot work plan and contains no vermicompost data. Every input below is a new assumption at October 2026 prices unless a source is cited. Blue = input; black = formula.</t>
  </si>
  <si>
    <t xml:space="preserve">Active scenario (1 = Base, 2 = Downside, 3 = Upside)</t>
  </si>
  <si>
    <t xml:space="preserve">How to use: change the yellow scenario cell (C3) or any blue input; every statement recalculates. Replace VERIFY values with local quotations.</t>
  </si>
  <si>
    <t xml:space="preserve">Assumption</t>
  </si>
  <si>
    <t xml:space="preserve">Unit</t>
  </si>
  <si>
    <t xml:space="preserve">Base</t>
  </si>
  <si>
    <t xml:space="preserve">Downside</t>
  </si>
  <si>
    <t xml:space="preserve">Upside</t>
  </si>
  <si>
    <t xml:space="preserve">Active</t>
  </si>
  <si>
    <t xml:space="preserve">Status / source / note</t>
  </si>
  <si>
    <t xml:space="preserve">1. Timing (model month 1 = 'Sep.' month of the original poultry schedule; year not stated in source)</t>
  </si>
  <si>
    <t xml:space="preserve">Phase 1 construction complete</t>
  </si>
  <si>
    <t xml:space="preserve">month</t>
  </si>
  <si>
    <t xml:space="preserve">NEW ASSUMPTION (not in original proposal). Aligned with poultry house construction.</t>
  </si>
  <si>
    <t xml:space="preserve">Earthworms stocked / operations start</t>
  </si>
  <si>
    <t xml:space="preserve">NEW ASSUMPTION (not in original proposal). </t>
  </si>
  <si>
    <t xml:space="preserve">Phase 2 expansion goes ahead (1 = yes, 0 = no)</t>
  </si>
  <si>
    <t xml:space="preserve">switch</t>
  </si>
  <si>
    <t xml:space="preserve">NEW ASSUMPTION (not in original proposal). Decision gate at end of PY1 (see business plan). Downside assumes the gate is not passed.</t>
  </si>
  <si>
    <t xml:space="preserve">Phase 2 beds operational</t>
  </si>
  <si>
    <t xml:space="preserve">NEW ASSUMPTION (not in original proposal). Base: PY2 month 5 (Jan.).</t>
  </si>
  <si>
    <t xml:space="preserve">2. Production system and material flow</t>
  </si>
  <si>
    <t xml:space="preserve">Phase 1 vermibeds (1 m x 3 m x 0.5 m, lined ground beds under shade)</t>
  </si>
  <si>
    <t xml:space="preserve">beds</t>
  </si>
  <si>
    <t xml:space="preserve">Phase 2 additional vermibeds</t>
  </si>
  <si>
    <t xml:space="preserve">Pre-composted feed loaded per bed per cycle (fresh weight)</t>
  </si>
  <si>
    <t xml:space="preserve">kg</t>
  </si>
  <si>
    <t xml:space="preserve">NEW ASSUMPTION (not in original proposal). ~1.5 m3 working volume x ~0.5 t/m3, fed in layers during the cycle. VERIFY</t>
  </si>
  <si>
    <t xml:space="preserve">Cycle length incl. harvest and re-bedding</t>
  </si>
  <si>
    <t xml:space="preserve">months</t>
  </si>
  <si>
    <t xml:space="preserve">NEW ASSUMPTION (not in original proposal). E. fetida processes pre-composted manure in ~45-90 days at 15-35 C and 60-70% moisture (ISFM+ guidance; ASTU thesis used 45 days).</t>
  </si>
  <si>
    <t xml:space="preserve">Ramp-up period after stocking (worm multiplication)</t>
  </si>
  <si>
    <t xml:space="preserve">Bed utilisation during ramp-up</t>
  </si>
  <si>
    <t xml:space="preserve">%</t>
  </si>
  <si>
    <t xml:space="preserve">Bed utilisation at steady state (water, downtime, losses)</t>
  </si>
  <si>
    <t xml:space="preserve">Mass loss during 2-4 week pre-composting (fresh basis)</t>
  </si>
  <si>
    <t xml:space="preserve">% of raw</t>
  </si>
  <si>
    <t xml:space="preserve">NEW ASSUMPTION (not in original proposal). Pre-composting is required for poultry litter (ammonia/salts kill worms; Oklahoma State thesis; 2025 Belarus study).</t>
  </si>
  <si>
    <t xml:space="preserve">Dry matter of bed feed</t>
  </si>
  <si>
    <t xml:space="preserve">NEW ASSUMPTION (not in original proposal). VERIFY</t>
  </si>
  <si>
    <t xml:space="preserve">Dry-matter loss during vermicomposting</t>
  </si>
  <si>
    <t xml:space="preserve">% of DM</t>
  </si>
  <si>
    <t xml:space="preserve">NEW ASSUMPTION (not in original proposal). Typical 30-45% organic-matter mineralisation. VERIFY</t>
  </si>
  <si>
    <t xml:space="preserve">Moisture of product at sale</t>
  </si>
  <si>
    <t xml:space="preserve">NEW ASSUMPTION (not in original proposal). Declare on label; sell by weight at stated moisture.</t>
  </si>
  <si>
    <t xml:space="preserve">Screening oversize / rejects (returned to beds, not sold)</t>
  </si>
  <si>
    <t xml:space="preserve">% of harvest</t>
  </si>
  <si>
    <t xml:space="preserve">Material retained as worm bedding / inoculum</t>
  </si>
  <si>
    <t xml:space="preserve">Unscreened vermicompost per kg bed feed (computed)</t>
  </si>
  <si>
    <t xml:space="preserve">kg/kg</t>
  </si>
  <si>
    <t xml:space="preserve">Dry-matter balance: feed DM x (1 - DM loss) / (1 - product moisture).</t>
  </si>
  <si>
    <t xml:space="preserve">Raw feedstock needed per kg SALEABLE product (computed)</t>
  </si>
  <si>
    <t xml:space="preserve">Formula.</t>
  </si>
  <si>
    <t xml:space="preserve">3. Feedstock</t>
  </si>
  <si>
    <t xml:space="preserve">Poultry litter available from the pullet enterprise</t>
  </si>
  <si>
    <t xml:space="preserve">t/yr</t>
  </si>
  <si>
    <t xml:space="preserve">NEW ASSUMPTION (not in original proposal). ~2 t per 500-bird batch x 4 batches (droppings + sawdust). Depends on poultry enterprise operating. VERIFY</t>
  </si>
  <si>
    <t xml:space="preserve">First month litter is available</t>
  </si>
  <si>
    <t xml:space="preserve">NEW ASSUMPTION (not in original proposal). After first poultry batch.</t>
  </si>
  <si>
    <t xml:space="preserve">Poultry litter cost (internal; handling only)</t>
  </si>
  <si>
    <t xml:space="preserve">ETB/kg</t>
  </si>
  <si>
    <t xml:space="preserve">Cattle manure / crop residue / coffee pulp, delivered</t>
  </si>
  <si>
    <t xml:space="preserve">NEW ASSUMPTION (not in original proposal). Often free at source; cost is mainly cart transport. Competes with farmers' own use. VERIFY</t>
  </si>
  <si>
    <t xml:space="preserve">4. Market and prices (PY1 prices; escalated annually)</t>
  </si>
  <si>
    <t xml:space="preserve">Accessible annual demand at full market development</t>
  </si>
  <si>
    <t xml:space="preserve">NEW ASSUMPTION (not in original proposal). Hypothesis built up in plan section C (nurseries, horticulture, smallholder adopters). Must be validated by interviews and pilot sales.</t>
  </si>
  <si>
    <t xml:space="preserve">Market development: share of demand reachable in PY1</t>
  </si>
  <si>
    <t xml:space="preserve">Market development: share of demand reachable in PY2</t>
  </si>
  <si>
    <t xml:space="preserve">Blended ex-site price of vermicompost incl. 25 kg bag</t>
  </si>
  <si>
    <t xml:space="preserve">NEW ASSUMPTION (not in original proposal). CGIAR/IWMI (Rift Valley, Oct 2025): ETB 1,000/qt to households; ETB 1,600/qt to collectors. Base blends bulk ~13 and bagged ~19. VERIFY</t>
  </si>
  <si>
    <t xml:space="preserve">Surplus earthworms sold (from PY2)</t>
  </si>
  <si>
    <t xml:space="preserve">kg/yr</t>
  </si>
  <si>
    <t xml:space="preserve">NEW ASSUMPTION (not in original proposal). Thin market, mainly projects/NGOs.</t>
  </si>
  <si>
    <t xml:space="preserve">Earthworm price</t>
  </si>
  <si>
    <t xml:space="preserve">NEW ASSUMPTION (not in original proposal). CGIAR/IWMI 2025: ETB 300-500/kg producer; 600-800 collectors' resale.</t>
  </si>
  <si>
    <t xml:space="preserve">Share of sales collected in month of sale</t>
  </si>
  <si>
    <t xml:space="preserve">Annual price escalation</t>
  </si>
  <si>
    <t xml:space="preserve">%/yr</t>
  </si>
  <si>
    <t xml:space="preserve">NEW ASSUMPTION (not in original proposal). CPI 15.3% (Jul 2026).</t>
  </si>
  <si>
    <t xml:space="preserve">Annual cost escalation</t>
  </si>
  <si>
    <t xml:space="preserve">Demand seasonality index - Sep</t>
  </si>
  <si>
    <t xml:space="preserve">index</t>
  </si>
  <si>
    <t xml:space="preserve">NEW ASSUMPTION (not in original proposal). Peaks before belg and kiremt planting and nursery potting (Jan.-May). Average = 1.0. VERIFY</t>
  </si>
  <si>
    <t xml:space="preserve">Demand seasonality index - Oct</t>
  </si>
  <si>
    <t xml:space="preserve">Demand seasonality index - Nov</t>
  </si>
  <si>
    <t xml:space="preserve">Demand seasonality index - Dec</t>
  </si>
  <si>
    <t xml:space="preserve">Demand seasonality index - Jan</t>
  </si>
  <si>
    <t xml:space="preserve">Demand seasonality index - Feb</t>
  </si>
  <si>
    <t xml:space="preserve">Demand seasonality index - Mar</t>
  </si>
  <si>
    <t xml:space="preserve">Demand seasonality index - Apr</t>
  </si>
  <si>
    <t xml:space="preserve">Demand seasonality index - May</t>
  </si>
  <si>
    <t xml:space="preserve">Demand seasonality index - Jun</t>
  </si>
  <si>
    <t xml:space="preserve">Demand seasonality index - Jul</t>
  </si>
  <si>
    <t xml:space="preserve">Demand seasonality index - Aug</t>
  </si>
  <si>
    <t xml:space="preserve">5. Variable costs</t>
  </si>
  <si>
    <t xml:space="preserve">Bag size</t>
  </si>
  <si>
    <t xml:space="preserve">Woven bag + printed label</t>
  </si>
  <si>
    <t xml:space="preserve">ETB/bag</t>
  </si>
  <si>
    <t xml:space="preserve">Casual labour: harvest and screening</t>
  </si>
  <si>
    <t xml:space="preserve">ETB/kg harvested</t>
  </si>
  <si>
    <t xml:space="preserve">NEW ASSUMPTION (not in original proposal). ~ETB 250/day casual rate. VERIFY</t>
  </si>
  <si>
    <t xml:space="preserve">Casual labour: feedstock handling and turning</t>
  </si>
  <si>
    <t xml:space="preserve">ETB/kg raw</t>
  </si>
  <si>
    <t xml:space="preserve">Delivery cost</t>
  </si>
  <si>
    <t xml:space="preserve">ETB/kg sold</t>
  </si>
  <si>
    <t xml:space="preserve">6. Fixed costs (PY1 prices)</t>
  </si>
  <si>
    <t xml:space="preserve">Paid member-workers, Phase 1</t>
  </si>
  <si>
    <t xml:space="preserve">FTE</t>
  </si>
  <si>
    <t xml:space="preserve">NEW ASSUMPTION (not in original proposal). Supervision shared with poultry duty members (integration benefit).</t>
  </si>
  <si>
    <t xml:space="preserve">Additional paid workers, Phase 2</t>
  </si>
  <si>
    <t xml:space="preserve">Monthly pay per FTE</t>
  </si>
  <si>
    <t xml:space="preserve">ETB/month</t>
  </si>
  <si>
    <t xml:space="preserve">NEW ASSUMPTION (not in original proposal). ~ETB 250/day x 24 days. VERIFY</t>
  </si>
  <si>
    <t xml:space="preserve">Imputed unpaid member supervision (memo only)</t>
  </si>
  <si>
    <t xml:space="preserve">Water per active bed</t>
  </si>
  <si>
    <t xml:space="preserve">ETB/bed/month</t>
  </si>
  <si>
    <t xml:space="preserve">NEW ASSUMPTION (not in original proposal). Rain-water harvesting reduces this. VERIFY</t>
  </si>
  <si>
    <t xml:space="preserve">Laboratory test per batch sample (twice a year)</t>
  </si>
  <si>
    <t xml:space="preserve">ETB/test</t>
  </si>
  <si>
    <t xml:space="preserve">NEW ASSUMPTION (not in original proposal). Nutrients, pH, EC, C:N, maturity, pathogens (E. coli/Salmonella). Lab to be identified. VERIFY</t>
  </si>
  <si>
    <t xml:space="preserve">Marketing and demonstrations, PY1</t>
  </si>
  <si>
    <t xml:space="preserve">ETB/yr</t>
  </si>
  <si>
    <t xml:space="preserve">Marketing and demonstrations, PY2 onward</t>
  </si>
  <si>
    <t xml:space="preserve">Administration</t>
  </si>
  <si>
    <t xml:space="preserve">Maintenance</t>
  </si>
  <si>
    <t xml:space="preserve">% of cumulative capex/yr</t>
  </si>
  <si>
    <t xml:space="preserve">Registration of activity / licence amendment (one-off)</t>
  </si>
  <si>
    <t xml:space="preserve">ETB</t>
  </si>
  <si>
    <t xml:space="preserve">Annual licence renewal</t>
  </si>
  <si>
    <t xml:space="preserve">Starter earthworms purchased (E. fetida)</t>
  </si>
  <si>
    <t xml:space="preserve">NEW ASSUMPTION (not in original proposal). ~0.5 kg/m2 on 48 m2, multiplied during ramp-up.</t>
  </si>
  <si>
    <t xml:space="preserve">Purchase price of starter worms</t>
  </si>
  <si>
    <t xml:space="preserve">NEW ASSUMPTION (not in original proposal). CGIAR/IWMI 2025 range. VERIFY</t>
  </si>
  <si>
    <t xml:space="preserve">7. Investment</t>
  </si>
  <si>
    <t xml:space="preserve">Phase 1 structures: shade (~120 m2), 16 lined ground beds, 1 m3 tank + gutters, pre-compost bay (store shared with poultry)</t>
  </si>
  <si>
    <t xml:space="preserve">NEW ASSUMPTION (not in original proposal). Low-cost design: eucalyptus poles, corrugated iron roof (~70k), plastic-lined ground beds with drainage (~1,500 each), rain-water tank. Obtain 3 quotations. VERIFY</t>
  </si>
  <si>
    <t xml:space="preserve">Phase 1 tools: screens, wheelbarrows, forks, scale, thermometer, moisture meter, PPE</t>
  </si>
  <si>
    <t xml:space="preserve">Phase 2 structures: shade + 16 beds</t>
  </si>
  <si>
    <t xml:space="preserve">Phase 2 tools</t>
  </si>
  <si>
    <t xml:space="preserve">Capital grant for Phase 1 (none confirmed)</t>
  </si>
  <si>
    <t xml:space="preserve">NEW ASSUMPTION (not in original proposal). No partner commitment exists. Set &gt;0 only when confirmed in writing.</t>
  </si>
  <si>
    <t xml:space="preserve">Useful life - structures</t>
  </si>
  <si>
    <t xml:space="preserve">years</t>
  </si>
  <si>
    <t xml:space="preserve">Useful life - tools</t>
  </si>
  <si>
    <t xml:space="preserve">8. Financing, tax and appraisal</t>
  </si>
  <si>
    <t xml:space="preserve">Month member equity is paid in</t>
  </si>
  <si>
    <t xml:space="preserve">Minimum cash buffer to maintain</t>
  </si>
  <si>
    <t xml:space="preserve">Assumption; any shortfall below this is shown as additional funding required.</t>
  </si>
  <si>
    <t xml:space="preserve">Member cash equity</t>
  </si>
  <si>
    <t xml:space="preserve">Loan disbursement month</t>
  </si>
  <si>
    <t xml:space="preserve">Investment loan</t>
  </si>
  <si>
    <t xml:space="preserve">NEW ASSUMPTION (not in original proposal). No lender identified.</t>
  </si>
  <si>
    <t xml:space="preserve">Interest rate</t>
  </si>
  <si>
    <t xml:space="preserve">NEW ASSUMPTION (not in original proposal). NBE policy rate 16% from 13 Jul 2026. VERIFY</t>
  </si>
  <si>
    <t xml:space="preserve">Grace period (interest only)</t>
  </si>
  <si>
    <t xml:space="preserve">Repayment period after grace</t>
  </si>
  <si>
    <t xml:space="preserve">Monthly instalment (computed)</t>
  </si>
  <si>
    <t xml:space="preserve">Business income tax provision</t>
  </si>
  <si>
    <t xml:space="preserve">% of PBT</t>
  </si>
  <si>
    <t xml:space="preserve">PLACEHOLDER - verify (see poultry model note).</t>
  </si>
  <si>
    <t xml:space="preserve">Discount rate (nominal)</t>
  </si>
  <si>
    <t xml:space="preserve">As poultry model.</t>
  </si>
  <si>
    <t xml:space="preserve">Standard variable cost per kg saleable (for inventory valuation)</t>
  </si>
  <si>
    <t xml:space="preserve">Formula (PY1 prices).</t>
  </si>
  <si>
    <t xml:space="preserve">Integrated Vermicompost Unit (proposed new component) - Monthly engine (60 months). Month 1 = first month of the original Sep.-Aug. schedule; year not stated in source.</t>
  </si>
  <si>
    <t xml:space="preserve">Model month no.</t>
  </si>
  <si>
    <t xml:space="preserve">Project year (PY)</t>
  </si>
  <si>
    <t xml:space="preserve">Calendar month label (year to be confirmed)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</si>
  <si>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</si>
  <si>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</si>
  <si>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</si>
  <si>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</si>
  <si>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</si>
  <si>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</si>
  <si>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</si>
  <si>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</si>
  <si>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</si>
  <si>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</si>
  <si>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</si>
  <si>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</si>
  <si>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ESCALATION</t>
  </si>
  <si>
    <t xml:space="preserve">Price index</t>
  </si>
  <si>
    <t xml:space="preserve">Cost index</t>
  </si>
  <si>
    <t xml:space="preserve">CAPACITY AND MATERIAL FLOW (kg, fresh weight)</t>
  </si>
  <si>
    <t xml:space="preserve">Phase 1 beds in operation</t>
  </si>
  <si>
    <t xml:space="preserve">Phase 2 beds in operation</t>
  </si>
  <si>
    <t xml:space="preserve">Phase 1 utilisation</t>
  </si>
  <si>
    <t xml:space="preserve">Phase 2 utilisation</t>
  </si>
  <si>
    <t xml:space="preserve">Pre-composted feed loaded into beds</t>
  </si>
  <si>
    <t xml:space="preserve">Raw feedstock collected</t>
  </si>
  <si>
    <t xml:space="preserve">  of which poultry litter</t>
  </si>
  <si>
    <t xml:space="preserve">  of which manure / residues / coffee pulp</t>
  </si>
  <si>
    <t xml:space="preserve">Unscreened vermicompost harvested (lagged one cycle)</t>
  </si>
  <si>
    <t xml:space="preserve">Screening rejects returned to beds</t>
  </si>
  <si>
    <t xml:space="preserve">Retained as bedding / inoculum</t>
  </si>
  <si>
    <t xml:space="preserve">Saleable vermicompost</t>
  </si>
  <si>
    <t xml:space="preserve">Seasonality index</t>
  </si>
  <si>
    <t xml:space="preserve">Market development factor</t>
  </si>
  <si>
    <t xml:space="preserve">Demand reachable this month</t>
  </si>
  <si>
    <t xml:space="preserve">Vermicompost sold</t>
  </si>
  <si>
    <t xml:space="preserve">Finished-goods inventory (end of month)</t>
  </si>
  <si>
    <t xml:space="preserve">Earthworms sold (kg)</t>
  </si>
  <si>
    <t xml:space="preserve">REVENUE AND COLLECTIONS</t>
  </si>
  <si>
    <t xml:space="preserve">Vermicompost sales</t>
  </si>
  <si>
    <t xml:space="preserve">Earthworm sales</t>
  </si>
  <si>
    <t xml:space="preserve">Total sales</t>
  </si>
  <si>
    <t xml:space="preserve">Cash collected</t>
  </si>
  <si>
    <t xml:space="preserve">Receivables</t>
  </si>
  <si>
    <t xml:space="preserve">VARIABLE COSTS</t>
  </si>
  <si>
    <t xml:space="preserve">Poultry litter handling</t>
  </si>
  <si>
    <t xml:space="preserve">Other feedstock delivered</t>
  </si>
  <si>
    <t xml:space="preserve">Casual labour - feedstock handling</t>
  </si>
  <si>
    <t xml:space="preserve">Casual labour - harvest and screening</t>
  </si>
  <si>
    <t xml:space="preserve">Bags and labels</t>
  </si>
  <si>
    <t xml:space="preserve">Delivery</t>
  </si>
  <si>
    <t xml:space="preserve">Total variable costs</t>
  </si>
  <si>
    <t xml:space="preserve">In-kind grant inputs (none)</t>
  </si>
  <si>
    <t xml:space="preserve">Variable costs paid in cash</t>
  </si>
  <si>
    <t xml:space="preserve">Inventory value at standard cost</t>
  </si>
  <si>
    <t xml:space="preserve">Increase in inventory value (reduces cost of sales)</t>
  </si>
  <si>
    <t xml:space="preserve">FIXED COSTS</t>
  </si>
  <si>
    <t xml:space="preserve">Operating flag</t>
  </si>
  <si>
    <t xml:space="preserve">Paid member-workers</t>
  </si>
  <si>
    <t xml:space="preserve">Water</t>
  </si>
  <si>
    <t xml:space="preserve">Laboratory testing</t>
  </si>
  <si>
    <t xml:space="preserve">Marketing and demonstrations</t>
  </si>
  <si>
    <t xml:space="preserve">Registration and licences</t>
  </si>
  <si>
    <t xml:space="preserve">Starter earthworms (pre-operating, expensed)</t>
  </si>
  <si>
    <t xml:space="preserve">Total fixed costs</t>
  </si>
  <si>
    <t xml:space="preserve">Memo: imputed unpaid member supervision</t>
  </si>
  <si>
    <t xml:space="preserve">EBITDA excluding grants</t>
  </si>
  <si>
    <t xml:space="preserve">INVESTMENT</t>
  </si>
  <si>
    <t xml:space="preserve">Capital expenditure</t>
  </si>
  <si>
    <t xml:space="preserve">Of which capital grant</t>
  </si>
  <si>
    <t xml:space="preserve">Depreciation</t>
  </si>
  <si>
    <t xml:space="preserve">FINANCING</t>
  </si>
  <si>
    <t xml:space="preserve">Loan disbursement</t>
  </si>
  <si>
    <t xml:space="preserve">Loan opening balance</t>
  </si>
  <si>
    <t xml:space="preserve">Interest (reducing balance)</t>
  </si>
  <si>
    <t xml:space="preserve">Principal repayment</t>
  </si>
  <si>
    <t xml:space="preserve">Loan closing balance</t>
  </si>
  <si>
    <t xml:space="preserve">Member cash equity contributed</t>
  </si>
  <si>
    <t xml:space="preserve">PROFIT AND TAX</t>
  </si>
  <si>
    <t xml:space="preserve">Profit before tax (incl. grant income)</t>
  </si>
  <si>
    <t xml:space="preserve">Business income tax paid (prior PY, paid in month 1 of next PY)</t>
  </si>
  <si>
    <t xml:space="preserve">CASH FLOW</t>
  </si>
  <si>
    <t xml:space="preserve">Operating cash flow</t>
  </si>
  <si>
    <t xml:space="preserve">Investing cash flow (cash-funded capex)</t>
  </si>
  <si>
    <t xml:space="preserve">Financing cash flow</t>
  </si>
  <si>
    <t xml:space="preserve">Net cash flow</t>
  </si>
  <si>
    <t xml:space="preserve">Opening cash</t>
  </si>
  <si>
    <t xml:space="preserve">Additional funding required - source NOT identified (keeps cash at minimum buffer)</t>
  </si>
  <si>
    <t xml:space="preserve">Closing cash</t>
  </si>
  <si>
    <t xml:space="preserve">Cumulative additional funding required</t>
  </si>
  <si>
    <t xml:space="preserve">Cumulative capex (gross fixed assets)</t>
  </si>
  <si>
    <t xml:space="preserve">Accumulated depreciation</t>
  </si>
  <si>
    <t xml:space="preserve">Cumulative capital grants / in-kind assets</t>
  </si>
  <si>
    <t xml:space="preserve">Cumulative member equity</t>
  </si>
  <si>
    <t xml:space="preserve">Integrated Vermicompost Unit (proposed new component) - Annual statements, Project Years 1-5 (PY = 12 model months from the Sep. start)</t>
  </si>
  <si>
    <t xml:space="preserve">PY1</t>
  </si>
  <si>
    <t xml:space="preserve">PY2</t>
  </si>
  <si>
    <t xml:space="preserve">PY3</t>
  </si>
  <si>
    <t xml:space="preserve">PY4</t>
  </si>
  <si>
    <t xml:space="preserve">PY5</t>
  </si>
  <si>
    <t xml:space="preserve">Total PY1-5</t>
  </si>
  <si>
    <t xml:space="preserve">INCOME STATEMENT</t>
  </si>
  <si>
    <t xml:space="preserve">Total sales revenue</t>
  </si>
  <si>
    <t xml:space="preserve">Total variable (direct) costs</t>
  </si>
  <si>
    <t xml:space="preserve">Less: increase in finished-goods inventory (at standard cost)</t>
  </si>
  <si>
    <t xml:space="preserve">Gross margin</t>
  </si>
  <si>
    <t xml:space="preserve">Gross margin %</t>
  </si>
  <si>
    <t xml:space="preserve">Starter earthworms (pre-operating)</t>
  </si>
  <si>
    <t xml:space="preserve">Total fixed operating costs</t>
  </si>
  <si>
    <t xml:space="preserve">Operating profit (EBIT) excluding grants</t>
  </si>
  <si>
    <t xml:space="preserve">Interest expense</t>
  </si>
  <si>
    <t xml:space="preserve">Profit before grants and tax</t>
  </si>
  <si>
    <t xml:space="preserve">Grant income - in-kind inputs (non-cash, non-recurring)</t>
  </si>
  <si>
    <t xml:space="preserve">Profit before tax</t>
  </si>
  <si>
    <t xml:space="preserve">Business income tax (placeholder rate; to verify)</t>
  </si>
  <si>
    <t xml:space="preserve">NET PROFIT</t>
  </si>
  <si>
    <t xml:space="preserve">Memo: net profit excluding grant income</t>
  </si>
  <si>
    <t xml:space="preserve">Memo: imputed value of unpaid member labour</t>
  </si>
  <si>
    <t xml:space="preserve">Memo: economic profit after imputing unpaid labour, excl. grants</t>
  </si>
  <si>
    <t xml:space="preserve">CASH FLOW STATEMENT (direct method)</t>
  </si>
  <si>
    <t xml:space="preserve">Cash collected from customers</t>
  </si>
  <si>
    <t xml:space="preserve">Cash paid: variable costs (net of in-kind grant inputs)</t>
  </si>
  <si>
    <t xml:space="preserve">Cash paid: fixed operating costs</t>
  </si>
  <si>
    <t xml:space="preserve">Interest paid</t>
  </si>
  <si>
    <t xml:space="preserve">Income tax paid</t>
  </si>
  <si>
    <t xml:space="preserve">Net cash from operations</t>
  </si>
  <si>
    <t xml:space="preserve">Net cash from investing (cash-funded capex)</t>
  </si>
  <si>
    <t xml:space="preserve">Member equity received</t>
  </si>
  <si>
    <t xml:space="preserve">Loan disbursed</t>
  </si>
  <si>
    <t xml:space="preserve">Loan principal repaid</t>
  </si>
  <si>
    <t xml:space="preserve">Additional funding required (source not identified)</t>
  </si>
  <si>
    <t xml:space="preserve">Net cash from financing</t>
  </si>
  <si>
    <t xml:space="preserve">Net change in cash</t>
  </si>
  <si>
    <t xml:space="preserve">Closing cash balance</t>
  </si>
  <si>
    <t xml:space="preserve">Opening cash balance</t>
  </si>
  <si>
    <t xml:space="preserve">Check: opening + net change - closing (should be 0)</t>
  </si>
  <si>
    <t xml:space="preserve">Lowest month-end cash in the year</t>
  </si>
  <si>
    <t xml:space="preserve">BALANCE SHEET (end of project year)</t>
  </si>
  <si>
    <t xml:space="preserve">Cash</t>
  </si>
  <si>
    <t xml:space="preserve">Trade receivables</t>
  </si>
  <si>
    <t xml:space="preserve">Finished-goods inventory (standard cost)</t>
  </si>
  <si>
    <t xml:space="preserve">Fixed assets at cost (incl. in-kind)</t>
  </si>
  <si>
    <t xml:space="preserve">Less accumulated depreciation</t>
  </si>
  <si>
    <t xml:space="preserve">Net fixed assets</t>
  </si>
  <si>
    <t xml:space="preserve">TOTAL ASSETS</t>
  </si>
  <si>
    <t xml:space="preserve">Loan outstanding</t>
  </si>
  <si>
    <t xml:space="preserve">Income tax payable</t>
  </si>
  <si>
    <t xml:space="preserve">Total liabilities</t>
  </si>
  <si>
    <t xml:space="preserve">Member paid-in capital</t>
  </si>
  <si>
    <t xml:space="preserve">Contributed capital (capital grants and in-kind assets)</t>
  </si>
  <si>
    <t xml:space="preserve">Additional funding required, cumulative (source not identified)</t>
  </si>
  <si>
    <t xml:space="preserve">Retained earnings (no distributions assumed)</t>
  </si>
  <si>
    <t xml:space="preserve">Total equity</t>
  </si>
  <si>
    <t xml:space="preserve">TOTAL LIABILITIES AND EQUITY</t>
  </si>
  <si>
    <t xml:space="preserve">Balance check: assets - (liabilities + equity) (should be 0)</t>
  </si>
  <si>
    <t xml:space="preserve">KEY RATIOS</t>
  </si>
  <si>
    <t xml:space="preserve">Debt service (interest + principal)</t>
  </si>
  <si>
    <t xml:space="preserve">Debt-service coverage ratio = (EBITDA excl. grants - tax paid) / debt service</t>
  </si>
  <si>
    <t xml:space="preserve">Net margin excl. grants (% of sales)</t>
  </si>
  <si>
    <t xml:space="preserve">Operating statistics (kg fresh weight)</t>
  </si>
  <si>
    <t xml:space="preserve">  of which other feedstock</t>
  </si>
  <si>
    <t xml:space="preserve">Bed feed loaded</t>
  </si>
  <si>
    <t xml:space="preserve">Unscreened vermicompost harvested</t>
  </si>
  <si>
    <t xml:space="preserve">Saleable vermicompost produced</t>
  </si>
  <si>
    <t xml:space="preserve">Demand reachable</t>
  </si>
  <si>
    <t xml:space="preserve">Closing inventory (kg)</t>
  </si>
  <si>
    <t xml:space="preserve">Beds in operation at year end</t>
  </si>
  <si>
    <t xml:space="preserve">Integrated Vermicompost Unit (proposed new component) - Investment appraisal (nominal ETB). Phase 2 investment is brought forward to PY0 for simplicity (conservative).</t>
  </si>
  <si>
    <t xml:space="preserve">PY0 (investment)</t>
  </si>
  <si>
    <t xml:space="preserve">A. Full economic view - all investment counted, including grant-funded and in-kind assets; grant income excluded</t>
  </si>
  <si>
    <t xml:space="preserve">Investment (all fixed assets at full value)</t>
  </si>
  <si>
    <t xml:space="preserve">Less tax paid</t>
  </si>
  <si>
    <t xml:space="preserve">Less increase in working capital (receivables/inventory)</t>
  </si>
  <si>
    <t xml:space="preserve">Residual value: net book value of fixed assets + working capital at end PY5 (conservative)</t>
  </si>
  <si>
    <t xml:space="preserve">Cumulative net cash flow</t>
  </si>
  <si>
    <t xml:space="preserve">B. Enterprise view - grant-funded and in-kind assets and inputs treated as free to the enterprise</t>
  </si>
  <si>
    <t xml:space="preserve">Investment funded by the enterprise (cash capex)</t>
  </si>
  <si>
    <t xml:space="preserve">EBITDA excl. grants + in-kind grant inputs - tax - change in working capital</t>
  </si>
  <si>
    <t xml:space="preserve">Residual value (as above)</t>
  </si>
  <si>
    <t xml:space="preserve">Results</t>
  </si>
  <si>
    <t xml:space="preserve">Discount rate (nominal ETB; see Assumptions note)</t>
  </si>
  <si>
    <t xml:space="preserve">A. NPV at discount rate</t>
  </si>
  <si>
    <t xml:space="preserve">A. IRR</t>
  </si>
  <si>
    <t xml:space="preserve">A. Payback (years from PY0)</t>
  </si>
  <si>
    <t xml:space="preserve">B. NPV at discount rate</t>
  </si>
  <si>
    <t xml:space="preserve">B. IRR</t>
  </si>
  <si>
    <t xml:space="preserve">B. Payback (years from PY0)</t>
  </si>
  <si>
    <t xml:space="preserve">Notes: PY0 investment is placed at the start of PY1 for simplicity (actual capex occurs in model month 3-4). Residual value is book value, not market value. All flows are nominal ETB: prices and costs escalate annually at the separate price and cost escalation rates on the Assumptions sheet, consistent with a nominal discount rate.</t>
  </si>
  <si>
    <t xml:space="preserve">Unit economics and break-even per kg saleable vermicompost (PY1 prices, steady state, active scenario)</t>
  </si>
  <si>
    <t xml:space="preserve">Raw feedstock per kg saleable product (kg)</t>
  </si>
  <si>
    <t xml:space="preserve">Feedstock cost per kg (all purchased feedstock; litter would lower this)</t>
  </si>
  <si>
    <t xml:space="preserve">Casual handling + screening labour per kg</t>
  </si>
  <si>
    <t xml:space="preserve">Bag + delivery per kg</t>
  </si>
  <si>
    <t xml:space="preserve">Total variable cost per kg</t>
  </si>
  <si>
    <t xml:space="preserve">Selling price per kg</t>
  </si>
  <si>
    <t xml:space="preserve">Contribution per kg</t>
  </si>
  <si>
    <t xml:space="preserve">Contribution margin %</t>
  </si>
  <si>
    <t xml:space="preserve">Fixed costs at full operation (PY3, deflated to PY1 prices)</t>
  </si>
  <si>
    <t xml:space="preserve">Depreciation PY3</t>
  </si>
  <si>
    <t xml:space="preserve">Interest PY3</t>
  </si>
  <si>
    <t xml:space="preserve">Accounting break-even volume (t/yr)</t>
  </si>
  <si>
    <t xml:space="preserve">Break-even revenue (ETB/yr, PY1 prices)</t>
  </si>
  <si>
    <t xml:space="preserve">Planned sales PY3 (t)</t>
  </si>
  <si>
    <t xml:space="preserve">Production capacity PY3 (t saleable)</t>
  </si>
  <si>
    <t xml:space="preserve">Break-even PRICE at planned PY3 volume (ETB/kg, PY1 prices)</t>
  </si>
  <si>
    <t xml:space="preserve">Margin of safety on volume</t>
  </si>
  <si>
    <t xml:space="preserve">Return to paid + unpaid member labour per day worked, PY3 (ETB/day; 24 days/FTE-month)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</si>
</sst>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;\(#,##0\);\-"/>
    <numFmt numFmtId="167" formatCode="0.0%;\(0.0%\);\-"/>
    <numFmt numFmtId="168" formatCode="#,##0.00;\(#,##0.00\);\-"/>
    <numFmt numFmtId="169" formatCode="#,##0.0;\(#,##0.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D3A"/>
        <bgColor rgb="FF333300"/>
      </patternFill>
    </fill>
    <fill>
      <patternFill patternType="solid">
        <fgColor rgb="FFE3EF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F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9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1</v>
      </c>
      <c r="D3" s="3" t="str">
        <f aca="false">CHOOSE($C$3,"Base","Downside","Upside")</f>
        <v>Base</v>
      </c>
    </row>
    <row r="4" customFormat="false" ht="15" hidden="false" customHeight="false" outlineLevel="0" collapsed="false">
      <c r="A4" s="5" t="s">
        <v>3</v>
      </c>
    </row>
    <row r="5" customFormat="false" ht="15" hidden="false" customHeight="fals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</row>
    <row r="6" customFormat="false" ht="15" hidden="false" customHeight="false" outlineLevel="0" collapsed="false">
      <c r="A6" s="7" t="s">
        <v>11</v>
      </c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9" t="s">
        <v>12</v>
      </c>
      <c r="B7" s="9" t="s">
        <v>13</v>
      </c>
      <c r="C7" s="10" t="n">
        <v>4</v>
      </c>
      <c r="D7" s="10" t="n">
        <v>5</v>
      </c>
      <c r="E7" s="10" t="n">
        <v>4</v>
      </c>
      <c r="F7" s="11" t="n">
        <f aca="false">CHOOSE($C$3,C7,D7,E7)</f>
        <v>4</v>
      </c>
      <c r="G7" s="12" t="s">
        <v>14</v>
      </c>
    </row>
    <row r="8" customFormat="false" ht="15" hidden="false" customHeight="false" outlineLevel="0" collapsed="false">
      <c r="A8" s="9" t="s">
        <v>15</v>
      </c>
      <c r="B8" s="9" t="s">
        <v>13</v>
      </c>
      <c r="C8" s="10" t="n">
        <v>5</v>
      </c>
      <c r="D8" s="10" t="n">
        <v>6</v>
      </c>
      <c r="E8" s="10" t="n">
        <v>5</v>
      </c>
      <c r="F8" s="11" t="n">
        <f aca="false">CHOOSE($C$3,C8,D8,E8)</f>
        <v>5</v>
      </c>
      <c r="G8" s="12" t="s">
        <v>16</v>
      </c>
    </row>
    <row r="9" customFormat="false" ht="22.35" hidden="false" customHeight="false" outlineLevel="0" collapsed="false">
      <c r="A9" s="9" t="s">
        <v>17</v>
      </c>
      <c r="B9" s="9" t="s">
        <v>18</v>
      </c>
      <c r="C9" s="10" t="n">
        <v>1</v>
      </c>
      <c r="D9" s="10" t="n">
        <v>0</v>
      </c>
      <c r="E9" s="10" t="n">
        <v>1</v>
      </c>
      <c r="F9" s="11" t="n">
        <f aca="false">CHOOSE($C$3,C9,D9,E9)</f>
        <v>1</v>
      </c>
      <c r="G9" s="12" t="s">
        <v>19</v>
      </c>
    </row>
    <row r="10" customFormat="false" ht="15" hidden="false" customHeight="false" outlineLevel="0" collapsed="false">
      <c r="A10" s="9" t="s">
        <v>20</v>
      </c>
      <c r="B10" s="9" t="s">
        <v>13</v>
      </c>
      <c r="C10" s="10" t="n">
        <v>17</v>
      </c>
      <c r="D10" s="10" t="n">
        <v>17</v>
      </c>
      <c r="E10" s="10" t="n">
        <v>15</v>
      </c>
      <c r="F10" s="11" t="n">
        <f aca="false">CHOOSE($C$3,C10,D10,E10)</f>
        <v>17</v>
      </c>
      <c r="G10" s="12" t="s">
        <v>21</v>
      </c>
    </row>
    <row r="11" customFormat="false" ht="15" hidden="false" customHeight="false" outlineLevel="0" collapsed="false">
      <c r="A11" s="7" t="s">
        <v>22</v>
      </c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9" t="s">
        <v>23</v>
      </c>
      <c r="B12" s="9" t="s">
        <v>24</v>
      </c>
      <c r="C12" s="10" t="n">
        <v>16</v>
      </c>
      <c r="D12" s="10" t="n">
        <v>16</v>
      </c>
      <c r="E12" s="10" t="n">
        <v>16</v>
      </c>
      <c r="F12" s="11" t="n">
        <f aca="false">CHOOSE($C$3,C12,D12,E12)</f>
        <v>16</v>
      </c>
      <c r="G12" s="12" t="s">
        <v>16</v>
      </c>
    </row>
    <row r="13" customFormat="false" ht="15" hidden="false" customHeight="false" outlineLevel="0" collapsed="false">
      <c r="A13" s="9" t="s">
        <v>25</v>
      </c>
      <c r="B13" s="9" t="s">
        <v>24</v>
      </c>
      <c r="C13" s="10" t="n">
        <v>16</v>
      </c>
      <c r="D13" s="10" t="n">
        <v>16</v>
      </c>
      <c r="E13" s="10" t="n">
        <v>16</v>
      </c>
      <c r="F13" s="11" t="n">
        <f aca="false">CHOOSE($C$3,C13,D13,E13)</f>
        <v>16</v>
      </c>
      <c r="G13" s="12" t="s">
        <v>16</v>
      </c>
    </row>
    <row r="14" customFormat="false" ht="15" hidden="false" customHeight="false" outlineLevel="0" collapsed="false">
      <c r="A14" s="9" t="s">
        <v>26</v>
      </c>
      <c r="B14" s="9" t="s">
        <v>27</v>
      </c>
      <c r="C14" s="13" t="n">
        <v>750</v>
      </c>
      <c r="D14" s="13" t="n">
        <v>700</v>
      </c>
      <c r="E14" s="13" t="n">
        <v>800</v>
      </c>
      <c r="F14" s="14" t="n">
        <f aca="false">CHOOSE($C$3,C14,D14,E14)</f>
        <v>750</v>
      </c>
      <c r="G14" s="12" t="s">
        <v>28</v>
      </c>
    </row>
    <row r="15" customFormat="false" ht="22.35" hidden="false" customHeight="false" outlineLevel="0" collapsed="false">
      <c r="A15" s="9" t="s">
        <v>29</v>
      </c>
      <c r="B15" s="9" t="s">
        <v>30</v>
      </c>
      <c r="C15" s="10" t="n">
        <v>3</v>
      </c>
      <c r="D15" s="10" t="n">
        <v>4</v>
      </c>
      <c r="E15" s="10" t="n">
        <v>3</v>
      </c>
      <c r="F15" s="11" t="n">
        <f aca="false">CHOOSE($C$3,C15,D15,E15)</f>
        <v>3</v>
      </c>
      <c r="G15" s="12" t="s">
        <v>31</v>
      </c>
    </row>
    <row r="16" customFormat="false" ht="15" hidden="false" customHeight="false" outlineLevel="0" collapsed="false">
      <c r="A16" s="9" t="s">
        <v>32</v>
      </c>
      <c r="B16" s="9" t="s">
        <v>30</v>
      </c>
      <c r="C16" s="10" t="n">
        <v>6</v>
      </c>
      <c r="D16" s="10" t="n">
        <v>6</v>
      </c>
      <c r="E16" s="10" t="n">
        <v>6</v>
      </c>
      <c r="F16" s="11" t="n">
        <f aca="false">CHOOSE($C$3,C16,D16,E16)</f>
        <v>6</v>
      </c>
      <c r="G16" s="12" t="s">
        <v>16</v>
      </c>
    </row>
    <row r="17" customFormat="false" ht="15" hidden="false" customHeight="false" outlineLevel="0" collapsed="false">
      <c r="A17" s="9" t="s">
        <v>33</v>
      </c>
      <c r="B17" s="9" t="s">
        <v>34</v>
      </c>
      <c r="C17" s="15" t="n">
        <v>0.5</v>
      </c>
      <c r="D17" s="15" t="n">
        <v>0.4</v>
      </c>
      <c r="E17" s="15" t="n">
        <v>0.5</v>
      </c>
      <c r="F17" s="16" t="n">
        <f aca="false">CHOOSE($C$3,C17,D17,E17)</f>
        <v>0.5</v>
      </c>
      <c r="G17" s="12" t="s">
        <v>16</v>
      </c>
    </row>
    <row r="18" customFormat="false" ht="15" hidden="false" customHeight="false" outlineLevel="0" collapsed="false">
      <c r="A18" s="9" t="s">
        <v>35</v>
      </c>
      <c r="B18" s="9" t="s">
        <v>34</v>
      </c>
      <c r="C18" s="15" t="n">
        <v>0.85</v>
      </c>
      <c r="D18" s="15" t="n">
        <v>0.7</v>
      </c>
      <c r="E18" s="15" t="n">
        <v>0.9</v>
      </c>
      <c r="F18" s="16" t="n">
        <f aca="false">CHOOSE($C$3,C18,D18,E18)</f>
        <v>0.85</v>
      </c>
      <c r="G18" s="12" t="s">
        <v>16</v>
      </c>
    </row>
    <row r="19" customFormat="false" ht="22.35" hidden="false" customHeight="false" outlineLevel="0" collapsed="false">
      <c r="A19" s="9" t="s">
        <v>36</v>
      </c>
      <c r="B19" s="9" t="s">
        <v>37</v>
      </c>
      <c r="C19" s="15" t="n">
        <v>0.25</v>
      </c>
      <c r="D19" s="15" t="n">
        <v>0.3</v>
      </c>
      <c r="E19" s="15" t="n">
        <v>0.22</v>
      </c>
      <c r="F19" s="16" t="n">
        <f aca="false">CHOOSE($C$3,C19,D19,E19)</f>
        <v>0.25</v>
      </c>
      <c r="G19" s="12" t="s">
        <v>38</v>
      </c>
    </row>
    <row r="20" customFormat="false" ht="15" hidden="false" customHeight="false" outlineLevel="0" collapsed="false">
      <c r="A20" s="9" t="s">
        <v>39</v>
      </c>
      <c r="B20" s="9" t="s">
        <v>34</v>
      </c>
      <c r="C20" s="15" t="n">
        <v>0.3</v>
      </c>
      <c r="D20" s="15" t="n">
        <v>0.3</v>
      </c>
      <c r="E20" s="15" t="n">
        <v>0.3</v>
      </c>
      <c r="F20" s="16" t="n">
        <f aca="false">CHOOSE($C$3,C20,D20,E20)</f>
        <v>0.3</v>
      </c>
      <c r="G20" s="12" t="s">
        <v>40</v>
      </c>
    </row>
    <row r="21" customFormat="false" ht="15" hidden="false" customHeight="false" outlineLevel="0" collapsed="false">
      <c r="A21" s="9" t="s">
        <v>41</v>
      </c>
      <c r="B21" s="9" t="s">
        <v>42</v>
      </c>
      <c r="C21" s="15" t="n">
        <v>0.35</v>
      </c>
      <c r="D21" s="15" t="n">
        <v>0.4</v>
      </c>
      <c r="E21" s="15" t="n">
        <v>0.33</v>
      </c>
      <c r="F21" s="16" t="n">
        <f aca="false">CHOOSE($C$3,C21,D21,E21)</f>
        <v>0.35</v>
      </c>
      <c r="G21" s="12" t="s">
        <v>43</v>
      </c>
    </row>
    <row r="22" customFormat="false" ht="15" hidden="false" customHeight="false" outlineLevel="0" collapsed="false">
      <c r="A22" s="9" t="s">
        <v>44</v>
      </c>
      <c r="B22" s="9" t="s">
        <v>34</v>
      </c>
      <c r="C22" s="15" t="n">
        <v>0.4</v>
      </c>
      <c r="D22" s="15" t="n">
        <v>0.4</v>
      </c>
      <c r="E22" s="15" t="n">
        <v>0.4</v>
      </c>
      <c r="F22" s="16" t="n">
        <f aca="false">CHOOSE($C$3,C22,D22,E22)</f>
        <v>0.4</v>
      </c>
      <c r="G22" s="12" t="s">
        <v>45</v>
      </c>
    </row>
    <row r="23" customFormat="false" ht="15" hidden="false" customHeight="false" outlineLevel="0" collapsed="false">
      <c r="A23" s="9" t="s">
        <v>46</v>
      </c>
      <c r="B23" s="9" t="s">
        <v>47</v>
      </c>
      <c r="C23" s="15" t="n">
        <v>0.1</v>
      </c>
      <c r="D23" s="15" t="n">
        <v>0.15</v>
      </c>
      <c r="E23" s="15" t="n">
        <v>0.08</v>
      </c>
      <c r="F23" s="16" t="n">
        <f aca="false">CHOOSE($C$3,C23,D23,E23)</f>
        <v>0.1</v>
      </c>
      <c r="G23" s="12" t="s">
        <v>16</v>
      </c>
    </row>
    <row r="24" customFormat="false" ht="15" hidden="false" customHeight="false" outlineLevel="0" collapsed="false">
      <c r="A24" s="9" t="s">
        <v>48</v>
      </c>
      <c r="B24" s="9" t="s">
        <v>47</v>
      </c>
      <c r="C24" s="15" t="n">
        <v>0.1</v>
      </c>
      <c r="D24" s="15" t="n">
        <v>0.1</v>
      </c>
      <c r="E24" s="15" t="n">
        <v>0.1</v>
      </c>
      <c r="F24" s="16" t="n">
        <f aca="false">CHOOSE($C$3,C24,D24,E24)</f>
        <v>0.1</v>
      </c>
      <c r="G24" s="12" t="s">
        <v>16</v>
      </c>
    </row>
    <row r="25" customFormat="false" ht="15" hidden="false" customHeight="false" outlineLevel="0" collapsed="false">
      <c r="A25" s="9" t="s">
        <v>49</v>
      </c>
      <c r="B25" s="9" t="s">
        <v>50</v>
      </c>
      <c r="F25" s="17" t="n">
        <f aca="false">$F$20*(1-$F$21)/(1-$F$22)</f>
        <v>0.325</v>
      </c>
      <c r="G25" s="9" t="s">
        <v>51</v>
      </c>
    </row>
    <row r="26" customFormat="false" ht="15" hidden="false" customHeight="false" outlineLevel="0" collapsed="false">
      <c r="A26" s="9" t="s">
        <v>52</v>
      </c>
      <c r="B26" s="9" t="s">
        <v>50</v>
      </c>
      <c r="F26" s="17" t="n">
        <f aca="false">1/((1-$F$19)*$F$25*(1-$F$23-$F$24))</f>
        <v>5.12820512820513</v>
      </c>
      <c r="G26" s="9" t="s">
        <v>53</v>
      </c>
    </row>
    <row r="27" customFormat="false" ht="15" hidden="false" customHeight="false" outlineLevel="0" collapsed="false">
      <c r="A27" s="7" t="s">
        <v>54</v>
      </c>
      <c r="B27" s="8"/>
      <c r="C27" s="8"/>
      <c r="D27" s="8"/>
      <c r="E27" s="8"/>
      <c r="F27" s="8"/>
      <c r="G27" s="8"/>
    </row>
    <row r="28" customFormat="false" ht="22.35" hidden="false" customHeight="false" outlineLevel="0" collapsed="false">
      <c r="A28" s="9" t="s">
        <v>55</v>
      </c>
      <c r="B28" s="9" t="s">
        <v>56</v>
      </c>
      <c r="C28" s="18" t="n">
        <v>8</v>
      </c>
      <c r="D28" s="18" t="n">
        <v>6</v>
      </c>
      <c r="E28" s="18" t="n">
        <v>8</v>
      </c>
      <c r="F28" s="19" t="n">
        <f aca="false">CHOOSE($C$3,C28,D28,E28)</f>
        <v>8</v>
      </c>
      <c r="G28" s="12" t="s">
        <v>57</v>
      </c>
    </row>
    <row r="29" customFormat="false" ht="15" hidden="false" customHeight="false" outlineLevel="0" collapsed="false">
      <c r="A29" s="9" t="s">
        <v>58</v>
      </c>
      <c r="B29" s="9" t="s">
        <v>13</v>
      </c>
      <c r="C29" s="10" t="n">
        <v>7</v>
      </c>
      <c r="D29" s="10" t="n">
        <v>8</v>
      </c>
      <c r="E29" s="10" t="n">
        <v>7</v>
      </c>
      <c r="F29" s="11" t="n">
        <f aca="false">CHOOSE($C$3,C29,D29,E29)</f>
        <v>7</v>
      </c>
      <c r="G29" s="12" t="s">
        <v>59</v>
      </c>
    </row>
    <row r="30" customFormat="false" ht="15" hidden="false" customHeight="false" outlineLevel="0" collapsed="false">
      <c r="A30" s="9" t="s">
        <v>60</v>
      </c>
      <c r="B30" s="9" t="s">
        <v>61</v>
      </c>
      <c r="C30" s="20" t="n">
        <v>0.1</v>
      </c>
      <c r="D30" s="20" t="n">
        <v>0.2</v>
      </c>
      <c r="E30" s="20" t="n">
        <v>0.1</v>
      </c>
      <c r="F30" s="17" t="n">
        <f aca="false">CHOOSE($C$3,C30,D30,E30)</f>
        <v>0.1</v>
      </c>
      <c r="G30" s="12" t="s">
        <v>16</v>
      </c>
    </row>
    <row r="31" customFormat="false" ht="22.35" hidden="false" customHeight="false" outlineLevel="0" collapsed="false">
      <c r="A31" s="9" t="s">
        <v>62</v>
      </c>
      <c r="B31" s="9" t="s">
        <v>61</v>
      </c>
      <c r="C31" s="20" t="n">
        <v>0.5</v>
      </c>
      <c r="D31" s="20" t="n">
        <v>1</v>
      </c>
      <c r="E31" s="20" t="n">
        <v>0.3</v>
      </c>
      <c r="F31" s="17" t="n">
        <f aca="false">CHOOSE($C$3,C31,D31,E31)</f>
        <v>0.5</v>
      </c>
      <c r="G31" s="12" t="s">
        <v>63</v>
      </c>
    </row>
    <row r="32" customFormat="false" ht="15" hidden="false" customHeight="false" outlineLevel="0" collapsed="false">
      <c r="A32" s="7" t="s">
        <v>64</v>
      </c>
      <c r="B32" s="8"/>
      <c r="C32" s="8"/>
      <c r="D32" s="8"/>
      <c r="E32" s="8"/>
      <c r="F32" s="8"/>
      <c r="G32" s="8"/>
    </row>
    <row r="33" customFormat="false" ht="22.35" hidden="false" customHeight="false" outlineLevel="0" collapsed="false">
      <c r="A33" s="9" t="s">
        <v>65</v>
      </c>
      <c r="B33" s="9" t="s">
        <v>56</v>
      </c>
      <c r="C33" s="18" t="n">
        <v>22</v>
      </c>
      <c r="D33" s="18" t="n">
        <v>12</v>
      </c>
      <c r="E33" s="18" t="n">
        <v>30</v>
      </c>
      <c r="F33" s="19" t="n">
        <f aca="false">CHOOSE($C$3,C33,D33,E33)</f>
        <v>22</v>
      </c>
      <c r="G33" s="12" t="s">
        <v>66</v>
      </c>
    </row>
    <row r="34" customFormat="false" ht="15" hidden="false" customHeight="false" outlineLevel="0" collapsed="false">
      <c r="A34" s="9" t="s">
        <v>67</v>
      </c>
      <c r="B34" s="9" t="s">
        <v>34</v>
      </c>
      <c r="C34" s="15" t="n">
        <v>0.4</v>
      </c>
      <c r="D34" s="15" t="n">
        <v>0.3</v>
      </c>
      <c r="E34" s="15" t="n">
        <v>0.5</v>
      </c>
      <c r="F34" s="16" t="n">
        <f aca="false">CHOOSE($C$3,C34,D34,E34)</f>
        <v>0.4</v>
      </c>
      <c r="G34" s="12" t="s">
        <v>16</v>
      </c>
    </row>
    <row r="35" customFormat="false" ht="15" hidden="false" customHeight="false" outlineLevel="0" collapsed="false">
      <c r="A35" s="9" t="s">
        <v>68</v>
      </c>
      <c r="B35" s="9" t="s">
        <v>34</v>
      </c>
      <c r="C35" s="15" t="n">
        <v>0.7</v>
      </c>
      <c r="D35" s="15" t="n">
        <v>0.6</v>
      </c>
      <c r="E35" s="15" t="n">
        <v>0.8</v>
      </c>
      <c r="F35" s="16" t="n">
        <f aca="false">CHOOSE($C$3,C35,D35,E35)</f>
        <v>0.7</v>
      </c>
      <c r="G35" s="12" t="s">
        <v>16</v>
      </c>
    </row>
    <row r="36" customFormat="false" ht="22.35" hidden="false" customHeight="false" outlineLevel="0" collapsed="false">
      <c r="A36" s="9" t="s">
        <v>69</v>
      </c>
      <c r="B36" s="9" t="s">
        <v>61</v>
      </c>
      <c r="C36" s="20" t="n">
        <v>16</v>
      </c>
      <c r="D36" s="20" t="n">
        <v>12</v>
      </c>
      <c r="E36" s="20" t="n">
        <v>20</v>
      </c>
      <c r="F36" s="17" t="n">
        <f aca="false">CHOOSE($C$3,C36,D36,E36)</f>
        <v>16</v>
      </c>
      <c r="G36" s="12" t="s">
        <v>70</v>
      </c>
    </row>
    <row r="37" customFormat="false" ht="15" hidden="false" customHeight="false" outlineLevel="0" collapsed="false">
      <c r="A37" s="9" t="s">
        <v>71</v>
      </c>
      <c r="B37" s="9" t="s">
        <v>72</v>
      </c>
      <c r="C37" s="13" t="n">
        <v>30</v>
      </c>
      <c r="D37" s="13" t="n">
        <v>10</v>
      </c>
      <c r="E37" s="13" t="n">
        <v>60</v>
      </c>
      <c r="F37" s="14" t="n">
        <f aca="false">CHOOSE($C$3,C37,D37,E37)</f>
        <v>30</v>
      </c>
      <c r="G37" s="12" t="s">
        <v>73</v>
      </c>
    </row>
    <row r="38" customFormat="false" ht="15" hidden="false" customHeight="false" outlineLevel="0" collapsed="false">
      <c r="A38" s="9" t="s">
        <v>74</v>
      </c>
      <c r="B38" s="9" t="s">
        <v>61</v>
      </c>
      <c r="C38" s="13" t="n">
        <v>350</v>
      </c>
      <c r="D38" s="13" t="n">
        <v>300</v>
      </c>
      <c r="E38" s="13" t="n">
        <v>400</v>
      </c>
      <c r="F38" s="14" t="n">
        <f aca="false">CHOOSE($C$3,C38,D38,E38)</f>
        <v>350</v>
      </c>
      <c r="G38" s="12" t="s">
        <v>75</v>
      </c>
    </row>
    <row r="39" customFormat="false" ht="15" hidden="false" customHeight="false" outlineLevel="0" collapsed="false">
      <c r="A39" s="9" t="s">
        <v>76</v>
      </c>
      <c r="B39" s="9" t="s">
        <v>34</v>
      </c>
      <c r="C39" s="15" t="n">
        <v>0.7</v>
      </c>
      <c r="D39" s="15" t="n">
        <v>0.5</v>
      </c>
      <c r="E39" s="15" t="n">
        <v>0.8</v>
      </c>
      <c r="F39" s="16" t="n">
        <f aca="false">CHOOSE($C$3,C39,D39,E39)</f>
        <v>0.7</v>
      </c>
      <c r="G39" s="12" t="s">
        <v>16</v>
      </c>
    </row>
    <row r="40" customFormat="false" ht="15" hidden="false" customHeight="false" outlineLevel="0" collapsed="false">
      <c r="A40" s="9" t="s">
        <v>77</v>
      </c>
      <c r="B40" s="9" t="s">
        <v>78</v>
      </c>
      <c r="C40" s="15" t="n">
        <v>0.12</v>
      </c>
      <c r="D40" s="15" t="n">
        <v>0.08</v>
      </c>
      <c r="E40" s="15" t="n">
        <v>0.12</v>
      </c>
      <c r="F40" s="16" t="n">
        <f aca="false">CHOOSE($C$3,C40,D40,E40)</f>
        <v>0.12</v>
      </c>
      <c r="G40" s="12" t="s">
        <v>79</v>
      </c>
    </row>
    <row r="41" customFormat="false" ht="15" hidden="false" customHeight="false" outlineLevel="0" collapsed="false">
      <c r="A41" s="9" t="s">
        <v>80</v>
      </c>
      <c r="B41" s="9" t="s">
        <v>78</v>
      </c>
      <c r="C41" s="15" t="n">
        <v>0.12</v>
      </c>
      <c r="D41" s="15" t="n">
        <v>0.15</v>
      </c>
      <c r="E41" s="15" t="n">
        <v>0.12</v>
      </c>
      <c r="F41" s="16" t="n">
        <f aca="false">CHOOSE($C$3,C41,D41,E41)</f>
        <v>0.12</v>
      </c>
      <c r="G41" s="12" t="s">
        <v>16</v>
      </c>
    </row>
    <row r="42" customFormat="false" ht="22.35" hidden="false" customHeight="false" outlineLevel="0" collapsed="false">
      <c r="A42" s="9" t="s">
        <v>81</v>
      </c>
      <c r="B42" s="9" t="s">
        <v>82</v>
      </c>
      <c r="C42" s="20" t="n">
        <v>0.6</v>
      </c>
      <c r="D42" s="20" t="n">
        <v>0.6</v>
      </c>
      <c r="E42" s="20" t="n">
        <v>0.6</v>
      </c>
      <c r="F42" s="17" t="n">
        <f aca="false">CHOOSE($C$3,C42,D42,E42)</f>
        <v>0.6</v>
      </c>
      <c r="G42" s="12" t="s">
        <v>83</v>
      </c>
    </row>
    <row r="43" customFormat="false" ht="15" hidden="false" customHeight="false" outlineLevel="0" collapsed="false">
      <c r="A43" s="9" t="s">
        <v>84</v>
      </c>
      <c r="B43" s="9" t="s">
        <v>82</v>
      </c>
      <c r="C43" s="20" t="n">
        <v>0.6</v>
      </c>
      <c r="D43" s="20" t="n">
        <v>0.6</v>
      </c>
      <c r="E43" s="20" t="n">
        <v>0.6</v>
      </c>
      <c r="F43" s="17" t="n">
        <f aca="false">CHOOSE($C$3,C43,D43,E43)</f>
        <v>0.6</v>
      </c>
      <c r="G43" s="12"/>
    </row>
    <row r="44" customFormat="false" ht="15" hidden="false" customHeight="false" outlineLevel="0" collapsed="false">
      <c r="A44" s="9" t="s">
        <v>85</v>
      </c>
      <c r="B44" s="9" t="s">
        <v>82</v>
      </c>
      <c r="C44" s="20" t="n">
        <v>0.7</v>
      </c>
      <c r="D44" s="20" t="n">
        <v>0.7</v>
      </c>
      <c r="E44" s="20" t="n">
        <v>0.7</v>
      </c>
      <c r="F44" s="17" t="n">
        <f aca="false">CHOOSE($C$3,C44,D44,E44)</f>
        <v>0.7</v>
      </c>
      <c r="G44" s="12"/>
    </row>
    <row r="45" customFormat="false" ht="15" hidden="false" customHeight="false" outlineLevel="0" collapsed="false">
      <c r="A45" s="9" t="s">
        <v>86</v>
      </c>
      <c r="B45" s="9" t="s">
        <v>82</v>
      </c>
      <c r="C45" s="20" t="n">
        <v>0.8</v>
      </c>
      <c r="D45" s="20" t="n">
        <v>0.8</v>
      </c>
      <c r="E45" s="20" t="n">
        <v>0.8</v>
      </c>
      <c r="F45" s="17" t="n">
        <f aca="false">CHOOSE($C$3,C45,D45,E45)</f>
        <v>0.8</v>
      </c>
      <c r="G45" s="12"/>
    </row>
    <row r="46" customFormat="false" ht="15" hidden="false" customHeight="false" outlineLevel="0" collapsed="false">
      <c r="A46" s="9" t="s">
        <v>87</v>
      </c>
      <c r="B46" s="9" t="s">
        <v>82</v>
      </c>
      <c r="C46" s="20" t="n">
        <v>1.2</v>
      </c>
      <c r="D46" s="20" t="n">
        <v>1.2</v>
      </c>
      <c r="E46" s="20" t="n">
        <v>1.2</v>
      </c>
      <c r="F46" s="17" t="n">
        <f aca="false">CHOOSE($C$3,C46,D46,E46)</f>
        <v>1.2</v>
      </c>
      <c r="G46" s="12"/>
    </row>
    <row r="47" customFormat="false" ht="15" hidden="false" customHeight="false" outlineLevel="0" collapsed="false">
      <c r="A47" s="9" t="s">
        <v>88</v>
      </c>
      <c r="B47" s="9" t="s">
        <v>82</v>
      </c>
      <c r="C47" s="20" t="n">
        <v>1.5</v>
      </c>
      <c r="D47" s="20" t="n">
        <v>1.5</v>
      </c>
      <c r="E47" s="20" t="n">
        <v>1.5</v>
      </c>
      <c r="F47" s="17" t="n">
        <f aca="false">CHOOSE($C$3,C47,D47,E47)</f>
        <v>1.5</v>
      </c>
      <c r="G47" s="12"/>
    </row>
    <row r="48" customFormat="false" ht="15" hidden="false" customHeight="false" outlineLevel="0" collapsed="false">
      <c r="A48" s="9" t="s">
        <v>89</v>
      </c>
      <c r="B48" s="9" t="s">
        <v>82</v>
      </c>
      <c r="C48" s="20" t="n">
        <v>1.6</v>
      </c>
      <c r="D48" s="20" t="n">
        <v>1.6</v>
      </c>
      <c r="E48" s="20" t="n">
        <v>1.6</v>
      </c>
      <c r="F48" s="17" t="n">
        <f aca="false">CHOOSE($C$3,C48,D48,E48)</f>
        <v>1.6</v>
      </c>
      <c r="G48" s="12"/>
    </row>
    <row r="49" customFormat="false" ht="15" hidden="false" customHeight="false" outlineLevel="0" collapsed="false">
      <c r="A49" s="9" t="s">
        <v>90</v>
      </c>
      <c r="B49" s="9" t="s">
        <v>82</v>
      </c>
      <c r="C49" s="20" t="n">
        <v>1.4</v>
      </c>
      <c r="D49" s="20" t="n">
        <v>1.4</v>
      </c>
      <c r="E49" s="20" t="n">
        <v>1.4</v>
      </c>
      <c r="F49" s="17" t="n">
        <f aca="false">CHOOSE($C$3,C49,D49,E49)</f>
        <v>1.4</v>
      </c>
      <c r="G49" s="12"/>
    </row>
    <row r="50" customFormat="false" ht="15" hidden="false" customHeight="false" outlineLevel="0" collapsed="false">
      <c r="A50" s="9" t="s">
        <v>91</v>
      </c>
      <c r="B50" s="9" t="s">
        <v>82</v>
      </c>
      <c r="C50" s="20" t="n">
        <v>1.3</v>
      </c>
      <c r="D50" s="20" t="n">
        <v>1.3</v>
      </c>
      <c r="E50" s="20" t="n">
        <v>1.3</v>
      </c>
      <c r="F50" s="17" t="n">
        <f aca="false">CHOOSE($C$3,C50,D50,E50)</f>
        <v>1.3</v>
      </c>
      <c r="G50" s="12"/>
    </row>
    <row r="51" customFormat="false" ht="15" hidden="false" customHeight="false" outlineLevel="0" collapsed="false">
      <c r="A51" s="9" t="s">
        <v>92</v>
      </c>
      <c r="B51" s="9" t="s">
        <v>82</v>
      </c>
      <c r="C51" s="20" t="n">
        <v>1</v>
      </c>
      <c r="D51" s="20" t="n">
        <v>1</v>
      </c>
      <c r="E51" s="20" t="n">
        <v>1</v>
      </c>
      <c r="F51" s="17" t="n">
        <f aca="false">CHOOSE($C$3,C51,D51,E51)</f>
        <v>1</v>
      </c>
      <c r="G51" s="12"/>
    </row>
    <row r="52" customFormat="false" ht="15" hidden="false" customHeight="false" outlineLevel="0" collapsed="false">
      <c r="A52" s="9" t="s">
        <v>93</v>
      </c>
      <c r="B52" s="9" t="s">
        <v>82</v>
      </c>
      <c r="C52" s="20" t="n">
        <v>0.7</v>
      </c>
      <c r="D52" s="20" t="n">
        <v>0.7</v>
      </c>
      <c r="E52" s="20" t="n">
        <v>0.7</v>
      </c>
      <c r="F52" s="17" t="n">
        <f aca="false">CHOOSE($C$3,C52,D52,E52)</f>
        <v>0.7</v>
      </c>
      <c r="G52" s="12"/>
    </row>
    <row r="53" customFormat="false" ht="15" hidden="false" customHeight="false" outlineLevel="0" collapsed="false">
      <c r="A53" s="9" t="s">
        <v>94</v>
      </c>
      <c r="B53" s="9" t="s">
        <v>82</v>
      </c>
      <c r="C53" s="20" t="n">
        <v>0.6</v>
      </c>
      <c r="D53" s="20" t="n">
        <v>0.6</v>
      </c>
      <c r="E53" s="20" t="n">
        <v>0.6</v>
      </c>
      <c r="F53" s="17" t="n">
        <f aca="false">CHOOSE($C$3,C53,D53,E53)</f>
        <v>0.6</v>
      </c>
      <c r="G53" s="12"/>
    </row>
    <row r="54" customFormat="false" ht="15" hidden="false" customHeight="false" outlineLevel="0" collapsed="false">
      <c r="A54" s="7" t="s">
        <v>95</v>
      </c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9" t="s">
        <v>96</v>
      </c>
      <c r="B55" s="9" t="s">
        <v>27</v>
      </c>
      <c r="C55" s="13" t="n">
        <v>25</v>
      </c>
      <c r="D55" s="13" t="n">
        <v>25</v>
      </c>
      <c r="E55" s="13" t="n">
        <v>25</v>
      </c>
      <c r="F55" s="14" t="n">
        <f aca="false">CHOOSE($C$3,C55,D55,E55)</f>
        <v>25</v>
      </c>
      <c r="G55" s="12" t="s">
        <v>16</v>
      </c>
    </row>
    <row r="56" customFormat="false" ht="15" hidden="false" customHeight="false" outlineLevel="0" collapsed="false">
      <c r="A56" s="9" t="s">
        <v>97</v>
      </c>
      <c r="B56" s="9" t="s">
        <v>98</v>
      </c>
      <c r="C56" s="13" t="n">
        <v>30</v>
      </c>
      <c r="D56" s="13" t="n">
        <v>35</v>
      </c>
      <c r="E56" s="13" t="n">
        <v>28</v>
      </c>
      <c r="F56" s="14" t="n">
        <f aca="false">CHOOSE($C$3,C56,D56,E56)</f>
        <v>30</v>
      </c>
      <c r="G56" s="12" t="s">
        <v>40</v>
      </c>
    </row>
    <row r="57" customFormat="false" ht="15" hidden="false" customHeight="false" outlineLevel="0" collapsed="false">
      <c r="A57" s="9" t="s">
        <v>99</v>
      </c>
      <c r="B57" s="9" t="s">
        <v>100</v>
      </c>
      <c r="C57" s="20" t="n">
        <v>0.6</v>
      </c>
      <c r="D57" s="20" t="n">
        <v>0.8</v>
      </c>
      <c r="E57" s="20" t="n">
        <v>0.5</v>
      </c>
      <c r="F57" s="17" t="n">
        <f aca="false">CHOOSE($C$3,C57,D57,E57)</f>
        <v>0.6</v>
      </c>
      <c r="G57" s="12" t="s">
        <v>101</v>
      </c>
    </row>
    <row r="58" customFormat="false" ht="15" hidden="false" customHeight="false" outlineLevel="0" collapsed="false">
      <c r="A58" s="9" t="s">
        <v>102</v>
      </c>
      <c r="B58" s="9" t="s">
        <v>103</v>
      </c>
      <c r="C58" s="20" t="n">
        <v>0.15</v>
      </c>
      <c r="D58" s="20" t="n">
        <v>0.2</v>
      </c>
      <c r="E58" s="20" t="n">
        <v>0.12</v>
      </c>
      <c r="F58" s="17" t="n">
        <f aca="false">CHOOSE($C$3,C58,D58,E58)</f>
        <v>0.15</v>
      </c>
      <c r="G58" s="12" t="s">
        <v>16</v>
      </c>
    </row>
    <row r="59" customFormat="false" ht="15" hidden="false" customHeight="false" outlineLevel="0" collapsed="false">
      <c r="A59" s="9" t="s">
        <v>104</v>
      </c>
      <c r="B59" s="9" t="s">
        <v>105</v>
      </c>
      <c r="C59" s="20" t="n">
        <v>0.8</v>
      </c>
      <c r="D59" s="20" t="n">
        <v>1.2</v>
      </c>
      <c r="E59" s="20" t="n">
        <v>0.7</v>
      </c>
      <c r="F59" s="17" t="n">
        <f aca="false">CHOOSE($C$3,C59,D59,E59)</f>
        <v>0.8</v>
      </c>
      <c r="G59" s="12" t="s">
        <v>40</v>
      </c>
    </row>
    <row r="60" customFormat="false" ht="15" hidden="false" customHeight="false" outlineLevel="0" collapsed="false">
      <c r="A60" s="7" t="s">
        <v>106</v>
      </c>
      <c r="B60" s="8"/>
      <c r="C60" s="8"/>
      <c r="D60" s="8"/>
      <c r="E60" s="8"/>
      <c r="F60" s="8"/>
      <c r="G60" s="8"/>
    </row>
    <row r="61" customFormat="false" ht="15" hidden="false" customHeight="false" outlineLevel="0" collapsed="false">
      <c r="A61" s="9" t="s">
        <v>107</v>
      </c>
      <c r="B61" s="9" t="s">
        <v>108</v>
      </c>
      <c r="C61" s="18" t="n">
        <v>1</v>
      </c>
      <c r="D61" s="18" t="n">
        <v>1</v>
      </c>
      <c r="E61" s="18" t="n">
        <v>1</v>
      </c>
      <c r="F61" s="19" t="n">
        <f aca="false">CHOOSE($C$3,C61,D61,E61)</f>
        <v>1</v>
      </c>
      <c r="G61" s="12" t="s">
        <v>109</v>
      </c>
    </row>
    <row r="62" customFormat="false" ht="15" hidden="false" customHeight="false" outlineLevel="0" collapsed="false">
      <c r="A62" s="9" t="s">
        <v>110</v>
      </c>
      <c r="B62" s="9" t="s">
        <v>108</v>
      </c>
      <c r="C62" s="18" t="n">
        <v>0.5</v>
      </c>
      <c r="D62" s="18" t="n">
        <v>0.5</v>
      </c>
      <c r="E62" s="18" t="n">
        <v>0.5</v>
      </c>
      <c r="F62" s="19" t="n">
        <f aca="false">CHOOSE($C$3,C62,D62,E62)</f>
        <v>0.5</v>
      </c>
      <c r="G62" s="12" t="s">
        <v>16</v>
      </c>
    </row>
    <row r="63" customFormat="false" ht="15" hidden="false" customHeight="false" outlineLevel="0" collapsed="false">
      <c r="A63" s="9" t="s">
        <v>111</v>
      </c>
      <c r="B63" s="9" t="s">
        <v>112</v>
      </c>
      <c r="C63" s="13" t="n">
        <v>6000</v>
      </c>
      <c r="D63" s="13" t="n">
        <v>6000</v>
      </c>
      <c r="E63" s="13" t="n">
        <v>6000</v>
      </c>
      <c r="F63" s="14" t="n">
        <f aca="false">CHOOSE($C$3,C63,D63,E63)</f>
        <v>6000</v>
      </c>
      <c r="G63" s="12" t="s">
        <v>113</v>
      </c>
    </row>
    <row r="64" customFormat="false" ht="15" hidden="false" customHeight="false" outlineLevel="0" collapsed="false">
      <c r="A64" s="9" t="s">
        <v>114</v>
      </c>
      <c r="B64" s="9" t="s">
        <v>112</v>
      </c>
      <c r="C64" s="13" t="n">
        <v>3000</v>
      </c>
      <c r="D64" s="13" t="n">
        <v>3000</v>
      </c>
      <c r="E64" s="13" t="n">
        <v>3000</v>
      </c>
      <c r="F64" s="14" t="n">
        <f aca="false">CHOOSE($C$3,C64,D64,E64)</f>
        <v>3000</v>
      </c>
      <c r="G64" s="12" t="s">
        <v>16</v>
      </c>
    </row>
    <row r="65" customFormat="false" ht="15" hidden="false" customHeight="false" outlineLevel="0" collapsed="false">
      <c r="A65" s="9" t="s">
        <v>115</v>
      </c>
      <c r="B65" s="9" t="s">
        <v>116</v>
      </c>
      <c r="C65" s="13" t="n">
        <v>30</v>
      </c>
      <c r="D65" s="13" t="n">
        <v>50</v>
      </c>
      <c r="E65" s="13" t="n">
        <v>25</v>
      </c>
      <c r="F65" s="14" t="n">
        <f aca="false">CHOOSE($C$3,C65,D65,E65)</f>
        <v>30</v>
      </c>
      <c r="G65" s="12" t="s">
        <v>117</v>
      </c>
    </row>
    <row r="66" customFormat="false" ht="22.35" hidden="false" customHeight="false" outlineLevel="0" collapsed="false">
      <c r="A66" s="9" t="s">
        <v>118</v>
      </c>
      <c r="B66" s="9" t="s">
        <v>119</v>
      </c>
      <c r="C66" s="13" t="n">
        <v>6000</v>
      </c>
      <c r="D66" s="13" t="n">
        <v>8000</v>
      </c>
      <c r="E66" s="13" t="n">
        <v>6000</v>
      </c>
      <c r="F66" s="14" t="n">
        <f aca="false">CHOOSE($C$3,C66,D66,E66)</f>
        <v>6000</v>
      </c>
      <c r="G66" s="12" t="s">
        <v>120</v>
      </c>
    </row>
    <row r="67" customFormat="false" ht="15" hidden="false" customHeight="false" outlineLevel="0" collapsed="false">
      <c r="A67" s="9" t="s">
        <v>121</v>
      </c>
      <c r="B67" s="9" t="s">
        <v>122</v>
      </c>
      <c r="C67" s="13" t="n">
        <v>15000</v>
      </c>
      <c r="D67" s="13" t="n">
        <v>15000</v>
      </c>
      <c r="E67" s="13" t="n">
        <v>15000</v>
      </c>
      <c r="F67" s="14" t="n">
        <f aca="false">CHOOSE($C$3,C67,D67,E67)</f>
        <v>15000</v>
      </c>
      <c r="G67" s="12" t="s">
        <v>16</v>
      </c>
    </row>
    <row r="68" customFormat="false" ht="15" hidden="false" customHeight="false" outlineLevel="0" collapsed="false">
      <c r="A68" s="9" t="s">
        <v>123</v>
      </c>
      <c r="B68" s="9" t="s">
        <v>122</v>
      </c>
      <c r="C68" s="13" t="n">
        <v>8000</v>
      </c>
      <c r="D68" s="13" t="n">
        <v>8000</v>
      </c>
      <c r="E68" s="13" t="n">
        <v>8000</v>
      </c>
      <c r="F68" s="14" t="n">
        <f aca="false">CHOOSE($C$3,C68,D68,E68)</f>
        <v>8000</v>
      </c>
      <c r="G68" s="12" t="s">
        <v>16</v>
      </c>
    </row>
    <row r="69" customFormat="false" ht="15" hidden="false" customHeight="false" outlineLevel="0" collapsed="false">
      <c r="A69" s="9" t="s">
        <v>124</v>
      </c>
      <c r="B69" s="9" t="s">
        <v>112</v>
      </c>
      <c r="C69" s="13" t="n">
        <v>500</v>
      </c>
      <c r="D69" s="13" t="n">
        <v>500</v>
      </c>
      <c r="E69" s="13" t="n">
        <v>500</v>
      </c>
      <c r="F69" s="14" t="n">
        <f aca="false">CHOOSE($C$3,C69,D69,E69)</f>
        <v>500</v>
      </c>
      <c r="G69" s="12" t="s">
        <v>16</v>
      </c>
    </row>
    <row r="70" customFormat="false" ht="15" hidden="false" customHeight="false" outlineLevel="0" collapsed="false">
      <c r="A70" s="9" t="s">
        <v>125</v>
      </c>
      <c r="B70" s="9" t="s">
        <v>126</v>
      </c>
      <c r="C70" s="15" t="n">
        <v>0.05</v>
      </c>
      <c r="D70" s="15" t="n">
        <v>0.05</v>
      </c>
      <c r="E70" s="15" t="n">
        <v>0.05</v>
      </c>
      <c r="F70" s="16" t="n">
        <f aca="false">CHOOSE($C$3,C70,D70,E70)</f>
        <v>0.05</v>
      </c>
      <c r="G70" s="12" t="s">
        <v>16</v>
      </c>
    </row>
    <row r="71" customFormat="false" ht="15" hidden="false" customHeight="false" outlineLevel="0" collapsed="false">
      <c r="A71" s="9" t="s">
        <v>127</v>
      </c>
      <c r="B71" s="9" t="s">
        <v>128</v>
      </c>
      <c r="C71" s="13" t="n">
        <v>2000</v>
      </c>
      <c r="D71" s="13" t="n">
        <v>2000</v>
      </c>
      <c r="E71" s="13" t="n">
        <v>2000</v>
      </c>
      <c r="F71" s="14" t="n">
        <f aca="false">CHOOSE($C$3,C71,D71,E71)</f>
        <v>2000</v>
      </c>
      <c r="G71" s="12" t="s">
        <v>40</v>
      </c>
    </row>
    <row r="72" customFormat="false" ht="15" hidden="false" customHeight="false" outlineLevel="0" collapsed="false">
      <c r="A72" s="9" t="s">
        <v>129</v>
      </c>
      <c r="B72" s="9" t="s">
        <v>122</v>
      </c>
      <c r="C72" s="13" t="n">
        <v>1500</v>
      </c>
      <c r="D72" s="13" t="n">
        <v>1500</v>
      </c>
      <c r="E72" s="13" t="n">
        <v>1500</v>
      </c>
      <c r="F72" s="14" t="n">
        <f aca="false">CHOOSE($C$3,C72,D72,E72)</f>
        <v>1500</v>
      </c>
      <c r="G72" s="12" t="s">
        <v>40</v>
      </c>
    </row>
    <row r="73" customFormat="false" ht="15" hidden="false" customHeight="false" outlineLevel="0" collapsed="false">
      <c r="A73" s="9" t="s">
        <v>130</v>
      </c>
      <c r="B73" s="9" t="s">
        <v>27</v>
      </c>
      <c r="C73" s="13" t="n">
        <v>24</v>
      </c>
      <c r="D73" s="13" t="n">
        <v>24</v>
      </c>
      <c r="E73" s="13" t="n">
        <v>24</v>
      </c>
      <c r="F73" s="14" t="n">
        <f aca="false">CHOOSE($C$3,C73,D73,E73)</f>
        <v>24</v>
      </c>
      <c r="G73" s="12" t="s">
        <v>131</v>
      </c>
    </row>
    <row r="74" customFormat="false" ht="15" hidden="false" customHeight="false" outlineLevel="0" collapsed="false">
      <c r="A74" s="9" t="s">
        <v>132</v>
      </c>
      <c r="B74" s="9" t="s">
        <v>61</v>
      </c>
      <c r="C74" s="13" t="n">
        <v>450</v>
      </c>
      <c r="D74" s="13" t="n">
        <v>500</v>
      </c>
      <c r="E74" s="13" t="n">
        <v>400</v>
      </c>
      <c r="F74" s="14" t="n">
        <f aca="false">CHOOSE($C$3,C74,D74,E74)</f>
        <v>450</v>
      </c>
      <c r="G74" s="12" t="s">
        <v>133</v>
      </c>
    </row>
    <row r="75" customFormat="false" ht="15" hidden="false" customHeight="false" outlineLevel="0" collapsed="false">
      <c r="A75" s="7" t="s">
        <v>134</v>
      </c>
      <c r="B75" s="8"/>
      <c r="C75" s="8"/>
      <c r="D75" s="8"/>
      <c r="E75" s="8"/>
      <c r="F75" s="8"/>
      <c r="G75" s="8"/>
    </row>
    <row r="76" customFormat="false" ht="22.35" hidden="false" customHeight="false" outlineLevel="0" collapsed="false">
      <c r="A76" s="9" t="s">
        <v>135</v>
      </c>
      <c r="B76" s="9" t="s">
        <v>128</v>
      </c>
      <c r="C76" s="13" t="n">
        <v>110000</v>
      </c>
      <c r="D76" s="13" t="n">
        <v>125000</v>
      </c>
      <c r="E76" s="13" t="n">
        <v>100000</v>
      </c>
      <c r="F76" s="14" t="n">
        <f aca="false">CHOOSE($C$3,C76,D76,E76)</f>
        <v>110000</v>
      </c>
      <c r="G76" s="12" t="s">
        <v>136</v>
      </c>
    </row>
    <row r="77" customFormat="false" ht="15" hidden="false" customHeight="false" outlineLevel="0" collapsed="false">
      <c r="A77" s="9" t="s">
        <v>137</v>
      </c>
      <c r="B77" s="9" t="s">
        <v>128</v>
      </c>
      <c r="C77" s="13" t="n">
        <v>18000</v>
      </c>
      <c r="D77" s="13" t="n">
        <v>20000</v>
      </c>
      <c r="E77" s="13" t="n">
        <v>18000</v>
      </c>
      <c r="F77" s="14" t="n">
        <f aca="false">CHOOSE($C$3,C77,D77,E77)</f>
        <v>18000</v>
      </c>
      <c r="G77" s="12" t="s">
        <v>40</v>
      </c>
    </row>
    <row r="78" customFormat="false" ht="15" hidden="false" customHeight="false" outlineLevel="0" collapsed="false">
      <c r="A78" s="9" t="s">
        <v>138</v>
      </c>
      <c r="B78" s="9" t="s">
        <v>128</v>
      </c>
      <c r="C78" s="13" t="n">
        <v>80000</v>
      </c>
      <c r="D78" s="13" t="n">
        <v>90000</v>
      </c>
      <c r="E78" s="13" t="n">
        <v>75000</v>
      </c>
      <c r="F78" s="14" t="n">
        <f aca="false">CHOOSE($C$3,C78,D78,E78)</f>
        <v>80000</v>
      </c>
      <c r="G78" s="12" t="s">
        <v>40</v>
      </c>
    </row>
    <row r="79" customFormat="false" ht="15" hidden="false" customHeight="false" outlineLevel="0" collapsed="false">
      <c r="A79" s="9" t="s">
        <v>139</v>
      </c>
      <c r="B79" s="9" t="s">
        <v>128</v>
      </c>
      <c r="C79" s="13" t="n">
        <v>5000</v>
      </c>
      <c r="D79" s="13" t="n">
        <v>6000</v>
      </c>
      <c r="E79" s="13" t="n">
        <v>5000</v>
      </c>
      <c r="F79" s="14" t="n">
        <f aca="false">CHOOSE($C$3,C79,D79,E79)</f>
        <v>5000</v>
      </c>
      <c r="G79" s="12" t="s">
        <v>16</v>
      </c>
    </row>
    <row r="80" customFormat="false" ht="15" hidden="false" customHeight="false" outlineLevel="0" collapsed="false">
      <c r="A80" s="9" t="s">
        <v>140</v>
      </c>
      <c r="B80" s="9" t="s">
        <v>128</v>
      </c>
      <c r="C80" s="13" t="n">
        <v>0</v>
      </c>
      <c r="D80" s="13" t="n">
        <v>0</v>
      </c>
      <c r="E80" s="13" t="n">
        <v>0</v>
      </c>
      <c r="F80" s="14" t="n">
        <f aca="false">CHOOSE($C$3,C80,D80,E80)</f>
        <v>0</v>
      </c>
      <c r="G80" s="12" t="s">
        <v>141</v>
      </c>
    </row>
    <row r="81" customFormat="false" ht="15" hidden="false" customHeight="false" outlineLevel="0" collapsed="false">
      <c r="A81" s="9" t="s">
        <v>142</v>
      </c>
      <c r="B81" s="9" t="s">
        <v>143</v>
      </c>
      <c r="C81" s="10" t="n">
        <v>10</v>
      </c>
      <c r="D81" s="10" t="n">
        <v>10</v>
      </c>
      <c r="E81" s="10" t="n">
        <v>10</v>
      </c>
      <c r="F81" s="11" t="n">
        <f aca="false">CHOOSE($C$3,C81,D81,E81)</f>
        <v>10</v>
      </c>
      <c r="G81" s="12" t="s">
        <v>16</v>
      </c>
    </row>
    <row r="82" customFormat="false" ht="15" hidden="false" customHeight="false" outlineLevel="0" collapsed="false">
      <c r="A82" s="9" t="s">
        <v>144</v>
      </c>
      <c r="B82" s="9" t="s">
        <v>143</v>
      </c>
      <c r="C82" s="10" t="n">
        <v>5</v>
      </c>
      <c r="D82" s="10" t="n">
        <v>5</v>
      </c>
      <c r="E82" s="10" t="n">
        <v>5</v>
      </c>
      <c r="F82" s="11" t="n">
        <f aca="false">CHOOSE($C$3,C82,D82,E82)</f>
        <v>5</v>
      </c>
      <c r="G82" s="12" t="s">
        <v>16</v>
      </c>
    </row>
    <row r="83" customFormat="false" ht="15" hidden="false" customHeight="false" outlineLevel="0" collapsed="false">
      <c r="A83" s="7" t="s">
        <v>145</v>
      </c>
      <c r="B83" s="8"/>
      <c r="C83" s="8"/>
      <c r="D83" s="8"/>
      <c r="E83" s="8"/>
      <c r="F83" s="8"/>
      <c r="G83" s="8"/>
    </row>
    <row r="84" customFormat="false" ht="15" hidden="false" customHeight="false" outlineLevel="0" collapsed="false">
      <c r="A84" s="9" t="s">
        <v>146</v>
      </c>
      <c r="B84" s="9" t="s">
        <v>13</v>
      </c>
      <c r="C84" s="10" t="n">
        <v>1</v>
      </c>
      <c r="D84" s="10" t="n">
        <v>1</v>
      </c>
      <c r="E84" s="10" t="n">
        <v>1</v>
      </c>
      <c r="F84" s="11" t="n">
        <f aca="false">CHOOSE($C$3,C84,D84,E84)</f>
        <v>1</v>
      </c>
      <c r="G84" s="12" t="s">
        <v>16</v>
      </c>
    </row>
    <row r="85" customFormat="false" ht="15" hidden="false" customHeight="false" outlineLevel="0" collapsed="false">
      <c r="A85" s="9" t="s">
        <v>147</v>
      </c>
      <c r="B85" s="9" t="s">
        <v>128</v>
      </c>
      <c r="C85" s="13" t="n">
        <v>5000</v>
      </c>
      <c r="D85" s="13" t="n">
        <v>5000</v>
      </c>
      <c r="E85" s="13" t="n">
        <v>5000</v>
      </c>
      <c r="F85" s="14" t="n">
        <f aca="false">CHOOSE($C$3,C85,D85,E85)</f>
        <v>5000</v>
      </c>
      <c r="G85" s="12" t="s">
        <v>148</v>
      </c>
    </row>
    <row r="86" customFormat="false" ht="15" hidden="false" customHeight="false" outlineLevel="0" collapsed="false">
      <c r="A86" s="9" t="s">
        <v>149</v>
      </c>
      <c r="B86" s="9" t="s">
        <v>128</v>
      </c>
      <c r="C86" s="13" t="n">
        <v>20000</v>
      </c>
      <c r="D86" s="13" t="n">
        <v>20000</v>
      </c>
      <c r="E86" s="13" t="n">
        <v>20000</v>
      </c>
      <c r="F86" s="14" t="n">
        <f aca="false">CHOOSE($C$3,C86,D86,E86)</f>
        <v>20000</v>
      </c>
      <c r="G86" s="12" t="s">
        <v>40</v>
      </c>
    </row>
    <row r="87" customFormat="false" ht="15" hidden="false" customHeight="false" outlineLevel="0" collapsed="false">
      <c r="A87" s="9" t="s">
        <v>150</v>
      </c>
      <c r="B87" s="9" t="s">
        <v>13</v>
      </c>
      <c r="C87" s="10" t="n">
        <v>3</v>
      </c>
      <c r="D87" s="10" t="n">
        <v>3</v>
      </c>
      <c r="E87" s="10" t="n">
        <v>3</v>
      </c>
      <c r="F87" s="11" t="n">
        <f aca="false">CHOOSE($C$3,C87,D87,E87)</f>
        <v>3</v>
      </c>
      <c r="G87" s="12" t="s">
        <v>16</v>
      </c>
    </row>
    <row r="88" customFormat="false" ht="15" hidden="false" customHeight="false" outlineLevel="0" collapsed="false">
      <c r="A88" s="9" t="s">
        <v>151</v>
      </c>
      <c r="B88" s="9" t="s">
        <v>128</v>
      </c>
      <c r="C88" s="13" t="n">
        <v>120000</v>
      </c>
      <c r="D88" s="13" t="n">
        <v>120000</v>
      </c>
      <c r="E88" s="13" t="n">
        <v>120000</v>
      </c>
      <c r="F88" s="14" t="n">
        <f aca="false">CHOOSE($C$3,C88,D88,E88)</f>
        <v>120000</v>
      </c>
      <c r="G88" s="12" t="s">
        <v>152</v>
      </c>
    </row>
    <row r="89" customFormat="false" ht="15" hidden="false" customHeight="false" outlineLevel="0" collapsed="false">
      <c r="A89" s="9" t="s">
        <v>153</v>
      </c>
      <c r="B89" s="9" t="s">
        <v>78</v>
      </c>
      <c r="C89" s="15" t="n">
        <v>0.22</v>
      </c>
      <c r="D89" s="15" t="n">
        <v>0.26</v>
      </c>
      <c r="E89" s="15" t="n">
        <v>0.2</v>
      </c>
      <c r="F89" s="16" t="n">
        <f aca="false">CHOOSE($C$3,C89,D89,E89)</f>
        <v>0.22</v>
      </c>
      <c r="G89" s="12" t="s">
        <v>154</v>
      </c>
    </row>
    <row r="90" customFormat="false" ht="15" hidden="false" customHeight="false" outlineLevel="0" collapsed="false">
      <c r="A90" s="9" t="s">
        <v>155</v>
      </c>
      <c r="B90" s="9" t="s">
        <v>30</v>
      </c>
      <c r="C90" s="10" t="n">
        <v>6</v>
      </c>
      <c r="D90" s="10" t="n">
        <v>6</v>
      </c>
      <c r="E90" s="10" t="n">
        <v>6</v>
      </c>
      <c r="F90" s="11" t="n">
        <f aca="false">CHOOSE($C$3,C90,D90,E90)</f>
        <v>6</v>
      </c>
      <c r="G90" s="12" t="s">
        <v>16</v>
      </c>
    </row>
    <row r="91" customFormat="false" ht="15" hidden="false" customHeight="false" outlineLevel="0" collapsed="false">
      <c r="A91" s="9" t="s">
        <v>156</v>
      </c>
      <c r="B91" s="9" t="s">
        <v>30</v>
      </c>
      <c r="C91" s="10" t="n">
        <v>36</v>
      </c>
      <c r="D91" s="10" t="n">
        <v>36</v>
      </c>
      <c r="E91" s="10" t="n">
        <v>36</v>
      </c>
      <c r="F91" s="11" t="n">
        <f aca="false">CHOOSE($C$3,C91,D91,E91)</f>
        <v>36</v>
      </c>
      <c r="G91" s="12" t="s">
        <v>16</v>
      </c>
    </row>
    <row r="92" customFormat="false" ht="15" hidden="false" customHeight="false" outlineLevel="0" collapsed="false">
      <c r="A92" s="9" t="s">
        <v>157</v>
      </c>
      <c r="B92" s="9" t="s">
        <v>112</v>
      </c>
      <c r="F92" s="14" t="n">
        <f aca="false">PMT($F$89/12,$F$91,-$F$88)</f>
        <v>4582.85438137314</v>
      </c>
      <c r="G92" s="9" t="s">
        <v>53</v>
      </c>
    </row>
    <row r="93" customFormat="false" ht="15" hidden="false" customHeight="false" outlineLevel="0" collapsed="false">
      <c r="A93" s="9" t="s">
        <v>158</v>
      </c>
      <c r="B93" s="9" t="s">
        <v>159</v>
      </c>
      <c r="C93" s="15" t="n">
        <v>0.1</v>
      </c>
      <c r="D93" s="15" t="n">
        <v>0.1</v>
      </c>
      <c r="E93" s="15" t="n">
        <v>0.1</v>
      </c>
      <c r="F93" s="16" t="n">
        <f aca="false">CHOOSE($C$3,C93,D93,E93)</f>
        <v>0.1</v>
      </c>
      <c r="G93" s="12" t="s">
        <v>160</v>
      </c>
    </row>
    <row r="94" customFormat="false" ht="15" hidden="false" customHeight="false" outlineLevel="0" collapsed="false">
      <c r="A94" s="9" t="s">
        <v>161</v>
      </c>
      <c r="B94" s="9" t="s">
        <v>34</v>
      </c>
      <c r="C94" s="15" t="n">
        <v>0.25</v>
      </c>
      <c r="D94" s="15" t="n">
        <v>0.25</v>
      </c>
      <c r="E94" s="15" t="n">
        <v>0.25</v>
      </c>
      <c r="F94" s="16" t="n">
        <f aca="false">CHOOSE($C$3,C94,D94,E94)</f>
        <v>0.25</v>
      </c>
      <c r="G94" s="12" t="s">
        <v>162</v>
      </c>
    </row>
    <row r="95" customFormat="false" ht="15" hidden="false" customHeight="false" outlineLevel="0" collapsed="false">
      <c r="A95" s="9" t="s">
        <v>163</v>
      </c>
      <c r="B95" s="9" t="s">
        <v>61</v>
      </c>
      <c r="F95" s="17" t="n">
        <f aca="false">$F$26*($F$31+$F$58)+$F$57/(1-$F$23-$F$24)</f>
        <v>4.08333333333333</v>
      </c>
      <c r="G95" s="9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62" min="3" style="0" width="9.51"/>
  </cols>
  <sheetData>
    <row r="1" customFormat="false" ht="15" hidden="false" customHeight="false" outlineLevel="0" collapsed="false">
      <c r="A1" s="21" t="s">
        <v>165</v>
      </c>
    </row>
    <row r="3" customFormat="false" ht="15" hidden="false" customHeight="false" outlineLevel="0" collapsed="false">
      <c r="A3" s="0" t="s">
        <v>166</v>
      </c>
      <c r="C3" s="22" t="n">
        <v>1</v>
      </c>
      <c r="D3" s="22" t="n">
        <v>2</v>
      </c>
      <c r="E3" s="22" t="n">
        <v>3</v>
      </c>
      <c r="F3" s="22" t="n">
        <v>4</v>
      </c>
      <c r="G3" s="22" t="n">
        <v>5</v>
      </c>
      <c r="H3" s="22" t="n">
        <v>6</v>
      </c>
      <c r="I3" s="22" t="n">
        <v>7</v>
      </c>
      <c r="J3" s="22" t="n">
        <v>8</v>
      </c>
      <c r="K3" s="22" t="n">
        <v>9</v>
      </c>
      <c r="L3" s="22" t="n">
        <v>10</v>
      </c>
      <c r="M3" s="22" t="n">
        <v>11</v>
      </c>
      <c r="N3" s="22" t="n">
        <v>12</v>
      </c>
      <c r="O3" s="22" t="n">
        <v>13</v>
      </c>
      <c r="P3" s="22" t="n">
        <v>14</v>
      </c>
      <c r="Q3" s="22" t="n">
        <v>15</v>
      </c>
      <c r="R3" s="22" t="n">
        <v>16</v>
      </c>
      <c r="S3" s="22" t="n">
        <v>17</v>
      </c>
      <c r="T3" s="22" t="n">
        <v>18</v>
      </c>
      <c r="U3" s="22" t="n">
        <v>19</v>
      </c>
      <c r="V3" s="22" t="n">
        <v>20</v>
      </c>
      <c r="W3" s="22" t="n">
        <v>21</v>
      </c>
      <c r="X3" s="22" t="n">
        <v>22</v>
      </c>
      <c r="Y3" s="22" t="n">
        <v>23</v>
      </c>
      <c r="Z3" s="22" t="n">
        <v>24</v>
      </c>
      <c r="AA3" s="22" t="n">
        <v>25</v>
      </c>
      <c r="AB3" s="22" t="n">
        <v>26</v>
      </c>
      <c r="AC3" s="22" t="n">
        <v>27</v>
      </c>
      <c r="AD3" s="22" t="n">
        <v>28</v>
      </c>
      <c r="AE3" s="22" t="n">
        <v>29</v>
      </c>
      <c r="AF3" s="22" t="n">
        <v>30</v>
      </c>
      <c r="AG3" s="22" t="n">
        <v>31</v>
      </c>
      <c r="AH3" s="22" t="n">
        <v>32</v>
      </c>
      <c r="AI3" s="22" t="n">
        <v>33</v>
      </c>
      <c r="AJ3" s="22" t="n">
        <v>34</v>
      </c>
      <c r="AK3" s="22" t="n">
        <v>35</v>
      </c>
      <c r="AL3" s="22" t="n">
        <v>36</v>
      </c>
      <c r="AM3" s="22" t="n">
        <v>37</v>
      </c>
      <c r="AN3" s="22" t="n">
        <v>38</v>
      </c>
      <c r="AO3" s="22" t="n">
        <v>39</v>
      </c>
      <c r="AP3" s="22" t="n">
        <v>40</v>
      </c>
      <c r="AQ3" s="22" t="n">
        <v>41</v>
      </c>
      <c r="AR3" s="22" t="n">
        <v>42</v>
      </c>
      <c r="AS3" s="22" t="n">
        <v>43</v>
      </c>
      <c r="AT3" s="22" t="n">
        <v>44</v>
      </c>
      <c r="AU3" s="22" t="n">
        <v>45</v>
      </c>
      <c r="AV3" s="22" t="n">
        <v>46</v>
      </c>
      <c r="AW3" s="22" t="n">
        <v>47</v>
      </c>
      <c r="AX3" s="22" t="n">
        <v>48</v>
      </c>
      <c r="AY3" s="22" t="n">
        <v>49</v>
      </c>
      <c r="AZ3" s="22" t="n">
        <v>50</v>
      </c>
      <c r="BA3" s="22" t="n">
        <v>51</v>
      </c>
      <c r="BB3" s="22" t="n">
        <v>52</v>
      </c>
      <c r="BC3" s="22" t="n">
        <v>53</v>
      </c>
      <c r="BD3" s="22" t="n">
        <v>54</v>
      </c>
      <c r="BE3" s="22" t="n">
        <v>55</v>
      </c>
      <c r="BF3" s="22" t="n">
        <v>56</v>
      </c>
      <c r="BG3" s="22" t="n">
        <v>57</v>
      </c>
      <c r="BH3" s="22" t="n">
        <v>58</v>
      </c>
      <c r="BI3" s="22" t="n">
        <v>59</v>
      </c>
      <c r="BJ3" s="22" t="n">
        <v>60</v>
      </c>
    </row>
    <row r="4" customFormat="false" ht="15" hidden="false" customHeight="false" outlineLevel="0" collapsed="false">
      <c r="A4" s="0" t="s">
        <v>167</v>
      </c>
      <c r="C4" s="22" t="n">
        <f aca="false">INT((C3-1)/12)+1</f>
        <v>1</v>
      </c>
      <c r="D4" s="22" t="n">
        <f aca="false">INT((D3-1)/12)+1</f>
        <v>1</v>
      </c>
      <c r="E4" s="22" t="n">
        <f aca="false">INT((E3-1)/12)+1</f>
        <v>1</v>
      </c>
      <c r="F4" s="22" t="n">
        <f aca="false">INT((F3-1)/12)+1</f>
        <v>1</v>
      </c>
      <c r="G4" s="22" t="n">
        <f aca="false">INT((G3-1)/12)+1</f>
        <v>1</v>
      </c>
      <c r="H4" s="22" t="n">
        <f aca="false">INT((H3-1)/12)+1</f>
        <v>1</v>
      </c>
      <c r="I4" s="22" t="n">
        <f aca="false">INT((I3-1)/12)+1</f>
        <v>1</v>
      </c>
      <c r="J4" s="22" t="n">
        <f aca="false">INT((J3-1)/12)+1</f>
        <v>1</v>
      </c>
      <c r="K4" s="22" t="n">
        <f aca="false">INT((K3-1)/12)+1</f>
        <v>1</v>
      </c>
      <c r="L4" s="22" t="n">
        <f aca="false">INT((L3-1)/12)+1</f>
        <v>1</v>
      </c>
      <c r="M4" s="22" t="n">
        <f aca="false">INT((M3-1)/12)+1</f>
        <v>1</v>
      </c>
      <c r="N4" s="22" t="n">
        <f aca="false">INT((N3-1)/12)+1</f>
        <v>1</v>
      </c>
      <c r="O4" s="22" t="n">
        <f aca="false">INT((O3-1)/12)+1</f>
        <v>2</v>
      </c>
      <c r="P4" s="22" t="n">
        <f aca="false">INT((P3-1)/12)+1</f>
        <v>2</v>
      </c>
      <c r="Q4" s="22" t="n">
        <f aca="false">INT((Q3-1)/12)+1</f>
        <v>2</v>
      </c>
      <c r="R4" s="22" t="n">
        <f aca="false">INT((R3-1)/12)+1</f>
        <v>2</v>
      </c>
      <c r="S4" s="22" t="n">
        <f aca="false">INT((S3-1)/12)+1</f>
        <v>2</v>
      </c>
      <c r="T4" s="22" t="n">
        <f aca="false">INT((T3-1)/12)+1</f>
        <v>2</v>
      </c>
      <c r="U4" s="22" t="n">
        <f aca="false">INT((U3-1)/12)+1</f>
        <v>2</v>
      </c>
      <c r="V4" s="22" t="n">
        <f aca="false">INT((V3-1)/12)+1</f>
        <v>2</v>
      </c>
      <c r="W4" s="22" t="n">
        <f aca="false">INT((W3-1)/12)+1</f>
        <v>2</v>
      </c>
      <c r="X4" s="22" t="n">
        <f aca="false">INT((X3-1)/12)+1</f>
        <v>2</v>
      </c>
      <c r="Y4" s="22" t="n">
        <f aca="false">INT((Y3-1)/12)+1</f>
        <v>2</v>
      </c>
      <c r="Z4" s="22" t="n">
        <f aca="false">INT((Z3-1)/12)+1</f>
        <v>2</v>
      </c>
      <c r="AA4" s="22" t="n">
        <f aca="false">INT((AA3-1)/12)+1</f>
        <v>3</v>
      </c>
      <c r="AB4" s="22" t="n">
        <f aca="false">INT((AB3-1)/12)+1</f>
        <v>3</v>
      </c>
      <c r="AC4" s="22" t="n">
        <f aca="false">INT((AC3-1)/12)+1</f>
        <v>3</v>
      </c>
      <c r="AD4" s="22" t="n">
        <f aca="false">INT((AD3-1)/12)+1</f>
        <v>3</v>
      </c>
      <c r="AE4" s="22" t="n">
        <f aca="false">INT((AE3-1)/12)+1</f>
        <v>3</v>
      </c>
      <c r="AF4" s="22" t="n">
        <f aca="false">INT((AF3-1)/12)+1</f>
        <v>3</v>
      </c>
      <c r="AG4" s="22" t="n">
        <f aca="false">INT((AG3-1)/12)+1</f>
        <v>3</v>
      </c>
      <c r="AH4" s="22" t="n">
        <f aca="false">INT((AH3-1)/12)+1</f>
        <v>3</v>
      </c>
      <c r="AI4" s="22" t="n">
        <f aca="false">INT((AI3-1)/12)+1</f>
        <v>3</v>
      </c>
      <c r="AJ4" s="22" t="n">
        <f aca="false">INT((AJ3-1)/12)+1</f>
        <v>3</v>
      </c>
      <c r="AK4" s="22" t="n">
        <f aca="false">INT((AK3-1)/12)+1</f>
        <v>3</v>
      </c>
      <c r="AL4" s="22" t="n">
        <f aca="false">INT((AL3-1)/12)+1</f>
        <v>3</v>
      </c>
      <c r="AM4" s="22" t="n">
        <f aca="false">INT((AM3-1)/12)+1</f>
        <v>4</v>
      </c>
      <c r="AN4" s="22" t="n">
        <f aca="false">INT((AN3-1)/12)+1</f>
        <v>4</v>
      </c>
      <c r="AO4" s="22" t="n">
        <f aca="false">INT((AO3-1)/12)+1</f>
        <v>4</v>
      </c>
      <c r="AP4" s="22" t="n">
        <f aca="false">INT((AP3-1)/12)+1</f>
        <v>4</v>
      </c>
      <c r="AQ4" s="22" t="n">
        <f aca="false">INT((AQ3-1)/12)+1</f>
        <v>4</v>
      </c>
      <c r="AR4" s="22" t="n">
        <f aca="false">INT((AR3-1)/12)+1</f>
        <v>4</v>
      </c>
      <c r="AS4" s="22" t="n">
        <f aca="false">INT((AS3-1)/12)+1</f>
        <v>4</v>
      </c>
      <c r="AT4" s="22" t="n">
        <f aca="false">INT((AT3-1)/12)+1</f>
        <v>4</v>
      </c>
      <c r="AU4" s="22" t="n">
        <f aca="false">INT((AU3-1)/12)+1</f>
        <v>4</v>
      </c>
      <c r="AV4" s="22" t="n">
        <f aca="false">INT((AV3-1)/12)+1</f>
        <v>4</v>
      </c>
      <c r="AW4" s="22" t="n">
        <f aca="false">INT((AW3-1)/12)+1</f>
        <v>4</v>
      </c>
      <c r="AX4" s="22" t="n">
        <f aca="false">INT((AX3-1)/12)+1</f>
        <v>4</v>
      </c>
      <c r="AY4" s="22" t="n">
        <f aca="false">INT((AY3-1)/12)+1</f>
        <v>5</v>
      </c>
      <c r="AZ4" s="22" t="n">
        <f aca="false">INT((AZ3-1)/12)+1</f>
        <v>5</v>
      </c>
      <c r="BA4" s="22" t="n">
        <f aca="false">INT((BA3-1)/12)+1</f>
        <v>5</v>
      </c>
      <c r="BB4" s="22" t="n">
        <f aca="false">INT((BB3-1)/12)+1</f>
        <v>5</v>
      </c>
      <c r="BC4" s="22" t="n">
        <f aca="false">INT((BC3-1)/12)+1</f>
        <v>5</v>
      </c>
      <c r="BD4" s="22" t="n">
        <f aca="false">INT((BD3-1)/12)+1</f>
        <v>5</v>
      </c>
      <c r="BE4" s="22" t="n">
        <f aca="false">INT((BE3-1)/12)+1</f>
        <v>5</v>
      </c>
      <c r="BF4" s="22" t="n">
        <f aca="false">INT((BF3-1)/12)+1</f>
        <v>5</v>
      </c>
      <c r="BG4" s="22" t="n">
        <f aca="false">INT((BG3-1)/12)+1</f>
        <v>5</v>
      </c>
      <c r="BH4" s="22" t="n">
        <f aca="false">INT((BH3-1)/12)+1</f>
        <v>5</v>
      </c>
      <c r="BI4" s="22" t="n">
        <f aca="false">INT((BI3-1)/12)+1</f>
        <v>5</v>
      </c>
      <c r="BJ4" s="22" t="n">
        <f aca="false">INT((BJ3-1)/12)+1</f>
        <v>5</v>
      </c>
    </row>
    <row r="5" customFormat="false" ht="15" hidden="false" customHeight="false" outlineLevel="0" collapsed="false">
      <c r="A5" s="0" t="s">
        <v>168</v>
      </c>
      <c r="C5" s="22" t="s">
        <v>169</v>
      </c>
      <c r="D5" s="22" t="s">
        <v>170</v>
      </c>
      <c r="E5" s="22" t="s">
        <v>171</v>
      </c>
      <c r="F5" s="22" t="s">
        <v>172</v>
      </c>
      <c r="G5" s="22" t="s">
        <v>173</v>
      </c>
      <c r="H5" s="22" t="s">
        <v>174</v>
      </c>
      <c r="I5" s="22" t="s">
        <v>175</v>
      </c>
      <c r="J5" s="22" t="s">
        <v>176</v>
      </c>
      <c r="K5" s="22" t="s">
        <v>177</v>
      </c>
      <c r="L5" s="22" t="s">
        <v>178</v>
      </c>
      <c r="M5" s="22" t="s">
        <v>179</v>
      </c>
      <c r="N5" s="22" t="s">
        <v>180</v>
      </c>
      <c r="O5" s="22" t="s">
        <v>169</v>
      </c>
      <c r="P5" s="22" t="s">
        <v>170</v>
      </c>
      <c r="Q5" s="22" t="s">
        <v>171</v>
      </c>
      <c r="R5" s="22" t="s">
        <v>172</v>
      </c>
      <c r="S5" s="22" t="s">
        <v>173</v>
      </c>
      <c r="T5" s="22" t="s">
        <v>174</v>
      </c>
      <c r="U5" s="22" t="s">
        <v>175</v>
      </c>
      <c r="V5" s="22" t="s">
        <v>176</v>
      </c>
      <c r="W5" s="22" t="s">
        <v>177</v>
      </c>
      <c r="X5" s="22" t="s">
        <v>178</v>
      </c>
      <c r="Y5" s="22" t="s">
        <v>179</v>
      </c>
      <c r="Z5" s="22" t="s">
        <v>180</v>
      </c>
      <c r="AA5" s="22" t="s">
        <v>169</v>
      </c>
      <c r="AB5" s="22" t="s">
        <v>170</v>
      </c>
      <c r="AC5" s="22" t="s">
        <v>171</v>
      </c>
      <c r="AD5" s="22" t="s">
        <v>172</v>
      </c>
      <c r="AE5" s="22" t="s">
        <v>173</v>
      </c>
      <c r="AF5" s="22" t="s">
        <v>174</v>
      </c>
      <c r="AG5" s="22" t="s">
        <v>175</v>
      </c>
      <c r="AH5" s="22" t="s">
        <v>176</v>
      </c>
      <c r="AI5" s="22" t="s">
        <v>177</v>
      </c>
      <c r="AJ5" s="22" t="s">
        <v>178</v>
      </c>
      <c r="AK5" s="22" t="s">
        <v>179</v>
      </c>
      <c r="AL5" s="22" t="s">
        <v>180</v>
      </c>
      <c r="AM5" s="22" t="s">
        <v>169</v>
      </c>
      <c r="AN5" s="22" t="s">
        <v>170</v>
      </c>
      <c r="AO5" s="22" t="s">
        <v>171</v>
      </c>
      <c r="AP5" s="22" t="s">
        <v>172</v>
      </c>
      <c r="AQ5" s="22" t="s">
        <v>173</v>
      </c>
      <c r="AR5" s="22" t="s">
        <v>174</v>
      </c>
      <c r="AS5" s="22" t="s">
        <v>175</v>
      </c>
      <c r="AT5" s="22" t="s">
        <v>176</v>
      </c>
      <c r="AU5" s="22" t="s">
        <v>177</v>
      </c>
      <c r="AV5" s="22" t="s">
        <v>178</v>
      </c>
      <c r="AW5" s="22" t="s">
        <v>179</v>
      </c>
      <c r="AX5" s="22" t="s">
        <v>180</v>
      </c>
      <c r="AY5" s="22" t="s">
        <v>169</v>
      </c>
      <c r="AZ5" s="22" t="s">
        <v>170</v>
      </c>
      <c r="BA5" s="22" t="s">
        <v>171</v>
      </c>
      <c r="BB5" s="22" t="s">
        <v>172</v>
      </c>
      <c r="BC5" s="22" t="s">
        <v>173</v>
      </c>
      <c r="BD5" s="22" t="s">
        <v>174</v>
      </c>
      <c r="BE5" s="22" t="s">
        <v>175</v>
      </c>
      <c r="BF5" s="22" t="s">
        <v>176</v>
      </c>
      <c r="BG5" s="22" t="s">
        <v>177</v>
      </c>
      <c r="BH5" s="22" t="s">
        <v>178</v>
      </c>
      <c r="BI5" s="22" t="s">
        <v>179</v>
      </c>
      <c r="BJ5" s="22" t="s">
        <v>180</v>
      </c>
    </row>
    <row r="6" customFormat="false" ht="15" hidden="false" customHeight="false" outlineLevel="0" collapsed="false">
      <c r="A6" s="7" t="s">
        <v>181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</row>
    <row r="7" customFormat="false" ht="15" hidden="false" customHeight="false" outlineLevel="0" collapsed="false">
      <c r="A7" s="9" t="s">
        <v>182</v>
      </c>
      <c r="B7" s="9"/>
      <c r="C7" s="23" t="n">
        <f aca="false">(1+Assumptions!$F$40)^(C$4-1)</f>
        <v>1</v>
      </c>
      <c r="D7" s="23" t="n">
        <f aca="false">(1+Assumptions!$F$40)^(D$4-1)</f>
        <v>1</v>
      </c>
      <c r="E7" s="23" t="n">
        <f aca="false">(1+Assumptions!$F$40)^(E$4-1)</f>
        <v>1</v>
      </c>
      <c r="F7" s="23" t="n">
        <f aca="false">(1+Assumptions!$F$40)^(F$4-1)</f>
        <v>1</v>
      </c>
      <c r="G7" s="23" t="n">
        <f aca="false">(1+Assumptions!$F$40)^(G$4-1)</f>
        <v>1</v>
      </c>
      <c r="H7" s="23" t="n">
        <f aca="false">(1+Assumptions!$F$40)^(H$4-1)</f>
        <v>1</v>
      </c>
      <c r="I7" s="23" t="n">
        <f aca="false">(1+Assumptions!$F$40)^(I$4-1)</f>
        <v>1</v>
      </c>
      <c r="J7" s="23" t="n">
        <f aca="false">(1+Assumptions!$F$40)^(J$4-1)</f>
        <v>1</v>
      </c>
      <c r="K7" s="23" t="n">
        <f aca="false">(1+Assumptions!$F$40)^(K$4-1)</f>
        <v>1</v>
      </c>
      <c r="L7" s="23" t="n">
        <f aca="false">(1+Assumptions!$F$40)^(L$4-1)</f>
        <v>1</v>
      </c>
      <c r="M7" s="23" t="n">
        <f aca="false">(1+Assumptions!$F$40)^(M$4-1)</f>
        <v>1</v>
      </c>
      <c r="N7" s="23" t="n">
        <f aca="false">(1+Assumptions!$F$40)^(N$4-1)</f>
        <v>1</v>
      </c>
      <c r="O7" s="23" t="n">
        <f aca="false">(1+Assumptions!$F$40)^(O$4-1)</f>
        <v>1.12</v>
      </c>
      <c r="P7" s="23" t="n">
        <f aca="false">(1+Assumptions!$F$40)^(P$4-1)</f>
        <v>1.12</v>
      </c>
      <c r="Q7" s="23" t="n">
        <f aca="false">(1+Assumptions!$F$40)^(Q$4-1)</f>
        <v>1.12</v>
      </c>
      <c r="R7" s="23" t="n">
        <f aca="false">(1+Assumptions!$F$40)^(R$4-1)</f>
        <v>1.12</v>
      </c>
      <c r="S7" s="23" t="n">
        <f aca="false">(1+Assumptions!$F$40)^(S$4-1)</f>
        <v>1.12</v>
      </c>
      <c r="T7" s="23" t="n">
        <f aca="false">(1+Assumptions!$F$40)^(T$4-1)</f>
        <v>1.12</v>
      </c>
      <c r="U7" s="23" t="n">
        <f aca="false">(1+Assumptions!$F$40)^(U$4-1)</f>
        <v>1.12</v>
      </c>
      <c r="V7" s="23" t="n">
        <f aca="false">(1+Assumptions!$F$40)^(V$4-1)</f>
        <v>1.12</v>
      </c>
      <c r="W7" s="23" t="n">
        <f aca="false">(1+Assumptions!$F$40)^(W$4-1)</f>
        <v>1.12</v>
      </c>
      <c r="X7" s="23" t="n">
        <f aca="false">(1+Assumptions!$F$40)^(X$4-1)</f>
        <v>1.12</v>
      </c>
      <c r="Y7" s="23" t="n">
        <f aca="false">(1+Assumptions!$F$40)^(Y$4-1)</f>
        <v>1.12</v>
      </c>
      <c r="Z7" s="23" t="n">
        <f aca="false">(1+Assumptions!$F$40)^(Z$4-1)</f>
        <v>1.12</v>
      </c>
      <c r="AA7" s="23" t="n">
        <f aca="false">(1+Assumptions!$F$40)^(AA$4-1)</f>
        <v>1.2544</v>
      </c>
      <c r="AB7" s="23" t="n">
        <f aca="false">(1+Assumptions!$F$40)^(AB$4-1)</f>
        <v>1.2544</v>
      </c>
      <c r="AC7" s="23" t="n">
        <f aca="false">(1+Assumptions!$F$40)^(AC$4-1)</f>
        <v>1.2544</v>
      </c>
      <c r="AD7" s="23" t="n">
        <f aca="false">(1+Assumptions!$F$40)^(AD$4-1)</f>
        <v>1.2544</v>
      </c>
      <c r="AE7" s="23" t="n">
        <f aca="false">(1+Assumptions!$F$40)^(AE$4-1)</f>
        <v>1.2544</v>
      </c>
      <c r="AF7" s="23" t="n">
        <f aca="false">(1+Assumptions!$F$40)^(AF$4-1)</f>
        <v>1.2544</v>
      </c>
      <c r="AG7" s="23" t="n">
        <f aca="false">(1+Assumptions!$F$40)^(AG$4-1)</f>
        <v>1.2544</v>
      </c>
      <c r="AH7" s="23" t="n">
        <f aca="false">(1+Assumptions!$F$40)^(AH$4-1)</f>
        <v>1.2544</v>
      </c>
      <c r="AI7" s="23" t="n">
        <f aca="false">(1+Assumptions!$F$40)^(AI$4-1)</f>
        <v>1.2544</v>
      </c>
      <c r="AJ7" s="23" t="n">
        <f aca="false">(1+Assumptions!$F$40)^(AJ$4-1)</f>
        <v>1.2544</v>
      </c>
      <c r="AK7" s="23" t="n">
        <f aca="false">(1+Assumptions!$F$40)^(AK$4-1)</f>
        <v>1.2544</v>
      </c>
      <c r="AL7" s="23" t="n">
        <f aca="false">(1+Assumptions!$F$40)^(AL$4-1)</f>
        <v>1.2544</v>
      </c>
      <c r="AM7" s="23" t="n">
        <f aca="false">(1+Assumptions!$F$40)^(AM$4-1)</f>
        <v>1.404928</v>
      </c>
      <c r="AN7" s="23" t="n">
        <f aca="false">(1+Assumptions!$F$40)^(AN$4-1)</f>
        <v>1.404928</v>
      </c>
      <c r="AO7" s="23" t="n">
        <f aca="false">(1+Assumptions!$F$40)^(AO$4-1)</f>
        <v>1.404928</v>
      </c>
      <c r="AP7" s="23" t="n">
        <f aca="false">(1+Assumptions!$F$40)^(AP$4-1)</f>
        <v>1.404928</v>
      </c>
      <c r="AQ7" s="23" t="n">
        <f aca="false">(1+Assumptions!$F$40)^(AQ$4-1)</f>
        <v>1.404928</v>
      </c>
      <c r="AR7" s="23" t="n">
        <f aca="false">(1+Assumptions!$F$40)^(AR$4-1)</f>
        <v>1.404928</v>
      </c>
      <c r="AS7" s="23" t="n">
        <f aca="false">(1+Assumptions!$F$40)^(AS$4-1)</f>
        <v>1.404928</v>
      </c>
      <c r="AT7" s="23" t="n">
        <f aca="false">(1+Assumptions!$F$40)^(AT$4-1)</f>
        <v>1.404928</v>
      </c>
      <c r="AU7" s="23" t="n">
        <f aca="false">(1+Assumptions!$F$40)^(AU$4-1)</f>
        <v>1.404928</v>
      </c>
      <c r="AV7" s="23" t="n">
        <f aca="false">(1+Assumptions!$F$40)^(AV$4-1)</f>
        <v>1.404928</v>
      </c>
      <c r="AW7" s="23" t="n">
        <f aca="false">(1+Assumptions!$F$40)^(AW$4-1)</f>
        <v>1.404928</v>
      </c>
      <c r="AX7" s="23" t="n">
        <f aca="false">(1+Assumptions!$F$40)^(AX$4-1)</f>
        <v>1.404928</v>
      </c>
      <c r="AY7" s="23" t="n">
        <f aca="false">(1+Assumptions!$F$40)^(AY$4-1)</f>
        <v>1.57351936</v>
      </c>
      <c r="AZ7" s="23" t="n">
        <f aca="false">(1+Assumptions!$F$40)^(AZ$4-1)</f>
        <v>1.57351936</v>
      </c>
      <c r="BA7" s="23" t="n">
        <f aca="false">(1+Assumptions!$F$40)^(BA$4-1)</f>
        <v>1.57351936</v>
      </c>
      <c r="BB7" s="23" t="n">
        <f aca="false">(1+Assumptions!$F$40)^(BB$4-1)</f>
        <v>1.57351936</v>
      </c>
      <c r="BC7" s="23" t="n">
        <f aca="false">(1+Assumptions!$F$40)^(BC$4-1)</f>
        <v>1.57351936</v>
      </c>
      <c r="BD7" s="23" t="n">
        <f aca="false">(1+Assumptions!$F$40)^(BD$4-1)</f>
        <v>1.57351936</v>
      </c>
      <c r="BE7" s="23" t="n">
        <f aca="false">(1+Assumptions!$F$40)^(BE$4-1)</f>
        <v>1.57351936</v>
      </c>
      <c r="BF7" s="23" t="n">
        <f aca="false">(1+Assumptions!$F$40)^(BF$4-1)</f>
        <v>1.57351936</v>
      </c>
      <c r="BG7" s="23" t="n">
        <f aca="false">(1+Assumptions!$F$40)^(BG$4-1)</f>
        <v>1.57351936</v>
      </c>
      <c r="BH7" s="23" t="n">
        <f aca="false">(1+Assumptions!$F$40)^(BH$4-1)</f>
        <v>1.57351936</v>
      </c>
      <c r="BI7" s="23" t="n">
        <f aca="false">(1+Assumptions!$F$40)^(BI$4-1)</f>
        <v>1.57351936</v>
      </c>
      <c r="BJ7" s="23" t="n">
        <f aca="false">(1+Assumptions!$F$40)^(BJ$4-1)</f>
        <v>1.57351936</v>
      </c>
    </row>
    <row r="8" customFormat="false" ht="15" hidden="false" customHeight="false" outlineLevel="0" collapsed="false">
      <c r="A8" s="9" t="s">
        <v>183</v>
      </c>
      <c r="B8" s="9"/>
      <c r="C8" s="23" t="n">
        <f aca="false">(1+Assumptions!$F$41)^(C$4-1)</f>
        <v>1</v>
      </c>
      <c r="D8" s="23" t="n">
        <f aca="false">(1+Assumptions!$F$41)^(D$4-1)</f>
        <v>1</v>
      </c>
      <c r="E8" s="23" t="n">
        <f aca="false">(1+Assumptions!$F$41)^(E$4-1)</f>
        <v>1</v>
      </c>
      <c r="F8" s="23" t="n">
        <f aca="false">(1+Assumptions!$F$41)^(F$4-1)</f>
        <v>1</v>
      </c>
      <c r="G8" s="23" t="n">
        <f aca="false">(1+Assumptions!$F$41)^(G$4-1)</f>
        <v>1</v>
      </c>
      <c r="H8" s="23" t="n">
        <f aca="false">(1+Assumptions!$F$41)^(H$4-1)</f>
        <v>1</v>
      </c>
      <c r="I8" s="23" t="n">
        <f aca="false">(1+Assumptions!$F$41)^(I$4-1)</f>
        <v>1</v>
      </c>
      <c r="J8" s="23" t="n">
        <f aca="false">(1+Assumptions!$F$41)^(J$4-1)</f>
        <v>1</v>
      </c>
      <c r="K8" s="23" t="n">
        <f aca="false">(1+Assumptions!$F$41)^(K$4-1)</f>
        <v>1</v>
      </c>
      <c r="L8" s="23" t="n">
        <f aca="false">(1+Assumptions!$F$41)^(L$4-1)</f>
        <v>1</v>
      </c>
      <c r="M8" s="23" t="n">
        <f aca="false">(1+Assumptions!$F$41)^(M$4-1)</f>
        <v>1</v>
      </c>
      <c r="N8" s="23" t="n">
        <f aca="false">(1+Assumptions!$F$41)^(N$4-1)</f>
        <v>1</v>
      </c>
      <c r="O8" s="23" t="n">
        <f aca="false">(1+Assumptions!$F$41)^(O$4-1)</f>
        <v>1.12</v>
      </c>
      <c r="P8" s="23" t="n">
        <f aca="false">(1+Assumptions!$F$41)^(P$4-1)</f>
        <v>1.12</v>
      </c>
      <c r="Q8" s="23" t="n">
        <f aca="false">(1+Assumptions!$F$41)^(Q$4-1)</f>
        <v>1.12</v>
      </c>
      <c r="R8" s="23" t="n">
        <f aca="false">(1+Assumptions!$F$41)^(R$4-1)</f>
        <v>1.12</v>
      </c>
      <c r="S8" s="23" t="n">
        <f aca="false">(1+Assumptions!$F$41)^(S$4-1)</f>
        <v>1.12</v>
      </c>
      <c r="T8" s="23" t="n">
        <f aca="false">(1+Assumptions!$F$41)^(T$4-1)</f>
        <v>1.12</v>
      </c>
      <c r="U8" s="23" t="n">
        <f aca="false">(1+Assumptions!$F$41)^(U$4-1)</f>
        <v>1.12</v>
      </c>
      <c r="V8" s="23" t="n">
        <f aca="false">(1+Assumptions!$F$41)^(V$4-1)</f>
        <v>1.12</v>
      </c>
      <c r="W8" s="23" t="n">
        <f aca="false">(1+Assumptions!$F$41)^(W$4-1)</f>
        <v>1.12</v>
      </c>
      <c r="X8" s="23" t="n">
        <f aca="false">(1+Assumptions!$F$41)^(X$4-1)</f>
        <v>1.12</v>
      </c>
      <c r="Y8" s="23" t="n">
        <f aca="false">(1+Assumptions!$F$41)^(Y$4-1)</f>
        <v>1.12</v>
      </c>
      <c r="Z8" s="23" t="n">
        <f aca="false">(1+Assumptions!$F$41)^(Z$4-1)</f>
        <v>1.12</v>
      </c>
      <c r="AA8" s="23" t="n">
        <f aca="false">(1+Assumptions!$F$41)^(AA$4-1)</f>
        <v>1.2544</v>
      </c>
      <c r="AB8" s="23" t="n">
        <f aca="false">(1+Assumptions!$F$41)^(AB$4-1)</f>
        <v>1.2544</v>
      </c>
      <c r="AC8" s="23" t="n">
        <f aca="false">(1+Assumptions!$F$41)^(AC$4-1)</f>
        <v>1.2544</v>
      </c>
      <c r="AD8" s="23" t="n">
        <f aca="false">(1+Assumptions!$F$41)^(AD$4-1)</f>
        <v>1.2544</v>
      </c>
      <c r="AE8" s="23" t="n">
        <f aca="false">(1+Assumptions!$F$41)^(AE$4-1)</f>
        <v>1.2544</v>
      </c>
      <c r="AF8" s="23" t="n">
        <f aca="false">(1+Assumptions!$F$41)^(AF$4-1)</f>
        <v>1.2544</v>
      </c>
      <c r="AG8" s="23" t="n">
        <f aca="false">(1+Assumptions!$F$41)^(AG$4-1)</f>
        <v>1.2544</v>
      </c>
      <c r="AH8" s="23" t="n">
        <f aca="false">(1+Assumptions!$F$41)^(AH$4-1)</f>
        <v>1.2544</v>
      </c>
      <c r="AI8" s="23" t="n">
        <f aca="false">(1+Assumptions!$F$41)^(AI$4-1)</f>
        <v>1.2544</v>
      </c>
      <c r="AJ8" s="23" t="n">
        <f aca="false">(1+Assumptions!$F$41)^(AJ$4-1)</f>
        <v>1.2544</v>
      </c>
      <c r="AK8" s="23" t="n">
        <f aca="false">(1+Assumptions!$F$41)^(AK$4-1)</f>
        <v>1.2544</v>
      </c>
      <c r="AL8" s="23" t="n">
        <f aca="false">(1+Assumptions!$F$41)^(AL$4-1)</f>
        <v>1.2544</v>
      </c>
      <c r="AM8" s="23" t="n">
        <f aca="false">(1+Assumptions!$F$41)^(AM$4-1)</f>
        <v>1.404928</v>
      </c>
      <c r="AN8" s="23" t="n">
        <f aca="false">(1+Assumptions!$F$41)^(AN$4-1)</f>
        <v>1.404928</v>
      </c>
      <c r="AO8" s="23" t="n">
        <f aca="false">(1+Assumptions!$F$41)^(AO$4-1)</f>
        <v>1.404928</v>
      </c>
      <c r="AP8" s="23" t="n">
        <f aca="false">(1+Assumptions!$F$41)^(AP$4-1)</f>
        <v>1.404928</v>
      </c>
      <c r="AQ8" s="23" t="n">
        <f aca="false">(1+Assumptions!$F$41)^(AQ$4-1)</f>
        <v>1.404928</v>
      </c>
      <c r="AR8" s="23" t="n">
        <f aca="false">(1+Assumptions!$F$41)^(AR$4-1)</f>
        <v>1.404928</v>
      </c>
      <c r="AS8" s="23" t="n">
        <f aca="false">(1+Assumptions!$F$41)^(AS$4-1)</f>
        <v>1.404928</v>
      </c>
      <c r="AT8" s="23" t="n">
        <f aca="false">(1+Assumptions!$F$41)^(AT$4-1)</f>
        <v>1.404928</v>
      </c>
      <c r="AU8" s="23" t="n">
        <f aca="false">(1+Assumptions!$F$41)^(AU$4-1)</f>
        <v>1.404928</v>
      </c>
      <c r="AV8" s="23" t="n">
        <f aca="false">(1+Assumptions!$F$41)^(AV$4-1)</f>
        <v>1.404928</v>
      </c>
      <c r="AW8" s="23" t="n">
        <f aca="false">(1+Assumptions!$F$41)^(AW$4-1)</f>
        <v>1.404928</v>
      </c>
      <c r="AX8" s="23" t="n">
        <f aca="false">(1+Assumptions!$F$41)^(AX$4-1)</f>
        <v>1.404928</v>
      </c>
      <c r="AY8" s="23" t="n">
        <f aca="false">(1+Assumptions!$F$41)^(AY$4-1)</f>
        <v>1.57351936</v>
      </c>
      <c r="AZ8" s="23" t="n">
        <f aca="false">(1+Assumptions!$F$41)^(AZ$4-1)</f>
        <v>1.57351936</v>
      </c>
      <c r="BA8" s="23" t="n">
        <f aca="false">(1+Assumptions!$F$41)^(BA$4-1)</f>
        <v>1.57351936</v>
      </c>
      <c r="BB8" s="23" t="n">
        <f aca="false">(1+Assumptions!$F$41)^(BB$4-1)</f>
        <v>1.57351936</v>
      </c>
      <c r="BC8" s="23" t="n">
        <f aca="false">(1+Assumptions!$F$41)^(BC$4-1)</f>
        <v>1.57351936</v>
      </c>
      <c r="BD8" s="23" t="n">
        <f aca="false">(1+Assumptions!$F$41)^(BD$4-1)</f>
        <v>1.57351936</v>
      </c>
      <c r="BE8" s="23" t="n">
        <f aca="false">(1+Assumptions!$F$41)^(BE$4-1)</f>
        <v>1.57351936</v>
      </c>
      <c r="BF8" s="23" t="n">
        <f aca="false">(1+Assumptions!$F$41)^(BF$4-1)</f>
        <v>1.57351936</v>
      </c>
      <c r="BG8" s="23" t="n">
        <f aca="false">(1+Assumptions!$F$41)^(BG$4-1)</f>
        <v>1.57351936</v>
      </c>
      <c r="BH8" s="23" t="n">
        <f aca="false">(1+Assumptions!$F$41)^(BH$4-1)</f>
        <v>1.57351936</v>
      </c>
      <c r="BI8" s="23" t="n">
        <f aca="false">(1+Assumptions!$F$41)^(BI$4-1)</f>
        <v>1.57351936</v>
      </c>
      <c r="BJ8" s="23" t="n">
        <f aca="false">(1+Assumptions!$F$41)^(BJ$4-1)</f>
        <v>1.57351936</v>
      </c>
    </row>
    <row r="9" customFormat="false" ht="15" hidden="false" customHeight="false" outlineLevel="0" collapsed="false">
      <c r="A9" s="7" t="s">
        <v>184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</row>
    <row r="10" customFormat="false" ht="15" hidden="false" customHeight="false" outlineLevel="0" collapsed="false">
      <c r="A10" s="9" t="s">
        <v>185</v>
      </c>
      <c r="B10" s="9"/>
      <c r="C10" s="24" t="n">
        <f aca="false">IF(C$3&gt;=Assumptions!$F$8,Assumptions!$F$12,0)</f>
        <v>0</v>
      </c>
      <c r="D10" s="24" t="n">
        <f aca="false">IF(D$3&gt;=Assumptions!$F$8,Assumptions!$F$12,0)</f>
        <v>0</v>
      </c>
      <c r="E10" s="24" t="n">
        <f aca="false">IF(E$3&gt;=Assumptions!$F$8,Assumptions!$F$12,0)</f>
        <v>0</v>
      </c>
      <c r="F10" s="24" t="n">
        <f aca="false">IF(F$3&gt;=Assumptions!$F$8,Assumptions!$F$12,0)</f>
        <v>0</v>
      </c>
      <c r="G10" s="24" t="n">
        <f aca="false">IF(G$3&gt;=Assumptions!$F$8,Assumptions!$F$12,0)</f>
        <v>16</v>
      </c>
      <c r="H10" s="24" t="n">
        <f aca="false">IF(H$3&gt;=Assumptions!$F$8,Assumptions!$F$12,0)</f>
        <v>16</v>
      </c>
      <c r="I10" s="24" t="n">
        <f aca="false">IF(I$3&gt;=Assumptions!$F$8,Assumptions!$F$12,0)</f>
        <v>16</v>
      </c>
      <c r="J10" s="24" t="n">
        <f aca="false">IF(J$3&gt;=Assumptions!$F$8,Assumptions!$F$12,0)</f>
        <v>16</v>
      </c>
      <c r="K10" s="24" t="n">
        <f aca="false">IF(K$3&gt;=Assumptions!$F$8,Assumptions!$F$12,0)</f>
        <v>16</v>
      </c>
      <c r="L10" s="24" t="n">
        <f aca="false">IF(L$3&gt;=Assumptions!$F$8,Assumptions!$F$12,0)</f>
        <v>16</v>
      </c>
      <c r="M10" s="24" t="n">
        <f aca="false">IF(M$3&gt;=Assumptions!$F$8,Assumptions!$F$12,0)</f>
        <v>16</v>
      </c>
      <c r="N10" s="24" t="n">
        <f aca="false">IF(N$3&gt;=Assumptions!$F$8,Assumptions!$F$12,0)</f>
        <v>16</v>
      </c>
      <c r="O10" s="24" t="n">
        <f aca="false">IF(O$3&gt;=Assumptions!$F$8,Assumptions!$F$12,0)</f>
        <v>16</v>
      </c>
      <c r="P10" s="24" t="n">
        <f aca="false">IF(P$3&gt;=Assumptions!$F$8,Assumptions!$F$12,0)</f>
        <v>16</v>
      </c>
      <c r="Q10" s="24" t="n">
        <f aca="false">IF(Q$3&gt;=Assumptions!$F$8,Assumptions!$F$12,0)</f>
        <v>16</v>
      </c>
      <c r="R10" s="24" t="n">
        <f aca="false">IF(R$3&gt;=Assumptions!$F$8,Assumptions!$F$12,0)</f>
        <v>16</v>
      </c>
      <c r="S10" s="24" t="n">
        <f aca="false">IF(S$3&gt;=Assumptions!$F$8,Assumptions!$F$12,0)</f>
        <v>16</v>
      </c>
      <c r="T10" s="24" t="n">
        <f aca="false">IF(T$3&gt;=Assumptions!$F$8,Assumptions!$F$12,0)</f>
        <v>16</v>
      </c>
      <c r="U10" s="24" t="n">
        <f aca="false">IF(U$3&gt;=Assumptions!$F$8,Assumptions!$F$12,0)</f>
        <v>16</v>
      </c>
      <c r="V10" s="24" t="n">
        <f aca="false">IF(V$3&gt;=Assumptions!$F$8,Assumptions!$F$12,0)</f>
        <v>16</v>
      </c>
      <c r="W10" s="24" t="n">
        <f aca="false">IF(W$3&gt;=Assumptions!$F$8,Assumptions!$F$12,0)</f>
        <v>16</v>
      </c>
      <c r="X10" s="24" t="n">
        <f aca="false">IF(X$3&gt;=Assumptions!$F$8,Assumptions!$F$12,0)</f>
        <v>16</v>
      </c>
      <c r="Y10" s="24" t="n">
        <f aca="false">IF(Y$3&gt;=Assumptions!$F$8,Assumptions!$F$12,0)</f>
        <v>16</v>
      </c>
      <c r="Z10" s="24" t="n">
        <f aca="false">IF(Z$3&gt;=Assumptions!$F$8,Assumptions!$F$12,0)</f>
        <v>16</v>
      </c>
      <c r="AA10" s="24" t="n">
        <f aca="false">IF(AA$3&gt;=Assumptions!$F$8,Assumptions!$F$12,0)</f>
        <v>16</v>
      </c>
      <c r="AB10" s="24" t="n">
        <f aca="false">IF(AB$3&gt;=Assumptions!$F$8,Assumptions!$F$12,0)</f>
        <v>16</v>
      </c>
      <c r="AC10" s="24" t="n">
        <f aca="false">IF(AC$3&gt;=Assumptions!$F$8,Assumptions!$F$12,0)</f>
        <v>16</v>
      </c>
      <c r="AD10" s="24" t="n">
        <f aca="false">IF(AD$3&gt;=Assumptions!$F$8,Assumptions!$F$12,0)</f>
        <v>16</v>
      </c>
      <c r="AE10" s="24" t="n">
        <f aca="false">IF(AE$3&gt;=Assumptions!$F$8,Assumptions!$F$12,0)</f>
        <v>16</v>
      </c>
      <c r="AF10" s="24" t="n">
        <f aca="false">IF(AF$3&gt;=Assumptions!$F$8,Assumptions!$F$12,0)</f>
        <v>16</v>
      </c>
      <c r="AG10" s="24" t="n">
        <f aca="false">IF(AG$3&gt;=Assumptions!$F$8,Assumptions!$F$12,0)</f>
        <v>16</v>
      </c>
      <c r="AH10" s="24" t="n">
        <f aca="false">IF(AH$3&gt;=Assumptions!$F$8,Assumptions!$F$12,0)</f>
        <v>16</v>
      </c>
      <c r="AI10" s="24" t="n">
        <f aca="false">IF(AI$3&gt;=Assumptions!$F$8,Assumptions!$F$12,0)</f>
        <v>16</v>
      </c>
      <c r="AJ10" s="24" t="n">
        <f aca="false">IF(AJ$3&gt;=Assumptions!$F$8,Assumptions!$F$12,0)</f>
        <v>16</v>
      </c>
      <c r="AK10" s="24" t="n">
        <f aca="false">IF(AK$3&gt;=Assumptions!$F$8,Assumptions!$F$12,0)</f>
        <v>16</v>
      </c>
      <c r="AL10" s="24" t="n">
        <f aca="false">IF(AL$3&gt;=Assumptions!$F$8,Assumptions!$F$12,0)</f>
        <v>16</v>
      </c>
      <c r="AM10" s="24" t="n">
        <f aca="false">IF(AM$3&gt;=Assumptions!$F$8,Assumptions!$F$12,0)</f>
        <v>16</v>
      </c>
      <c r="AN10" s="24" t="n">
        <f aca="false">IF(AN$3&gt;=Assumptions!$F$8,Assumptions!$F$12,0)</f>
        <v>16</v>
      </c>
      <c r="AO10" s="24" t="n">
        <f aca="false">IF(AO$3&gt;=Assumptions!$F$8,Assumptions!$F$12,0)</f>
        <v>16</v>
      </c>
      <c r="AP10" s="24" t="n">
        <f aca="false">IF(AP$3&gt;=Assumptions!$F$8,Assumptions!$F$12,0)</f>
        <v>16</v>
      </c>
      <c r="AQ10" s="24" t="n">
        <f aca="false">IF(AQ$3&gt;=Assumptions!$F$8,Assumptions!$F$12,0)</f>
        <v>16</v>
      </c>
      <c r="AR10" s="24" t="n">
        <f aca="false">IF(AR$3&gt;=Assumptions!$F$8,Assumptions!$F$12,0)</f>
        <v>16</v>
      </c>
      <c r="AS10" s="24" t="n">
        <f aca="false">IF(AS$3&gt;=Assumptions!$F$8,Assumptions!$F$12,0)</f>
        <v>16</v>
      </c>
      <c r="AT10" s="24" t="n">
        <f aca="false">IF(AT$3&gt;=Assumptions!$F$8,Assumptions!$F$12,0)</f>
        <v>16</v>
      </c>
      <c r="AU10" s="24" t="n">
        <f aca="false">IF(AU$3&gt;=Assumptions!$F$8,Assumptions!$F$12,0)</f>
        <v>16</v>
      </c>
      <c r="AV10" s="24" t="n">
        <f aca="false">IF(AV$3&gt;=Assumptions!$F$8,Assumptions!$F$12,0)</f>
        <v>16</v>
      </c>
      <c r="AW10" s="24" t="n">
        <f aca="false">IF(AW$3&gt;=Assumptions!$F$8,Assumptions!$F$12,0)</f>
        <v>16</v>
      </c>
      <c r="AX10" s="24" t="n">
        <f aca="false">IF(AX$3&gt;=Assumptions!$F$8,Assumptions!$F$12,0)</f>
        <v>16</v>
      </c>
      <c r="AY10" s="24" t="n">
        <f aca="false">IF(AY$3&gt;=Assumptions!$F$8,Assumptions!$F$12,0)</f>
        <v>16</v>
      </c>
      <c r="AZ10" s="24" t="n">
        <f aca="false">IF(AZ$3&gt;=Assumptions!$F$8,Assumptions!$F$12,0)</f>
        <v>16</v>
      </c>
      <c r="BA10" s="24" t="n">
        <f aca="false">IF(BA$3&gt;=Assumptions!$F$8,Assumptions!$F$12,0)</f>
        <v>16</v>
      </c>
      <c r="BB10" s="24" t="n">
        <f aca="false">IF(BB$3&gt;=Assumptions!$F$8,Assumptions!$F$12,0)</f>
        <v>16</v>
      </c>
      <c r="BC10" s="24" t="n">
        <f aca="false">IF(BC$3&gt;=Assumptions!$F$8,Assumptions!$F$12,0)</f>
        <v>16</v>
      </c>
      <c r="BD10" s="24" t="n">
        <f aca="false">IF(BD$3&gt;=Assumptions!$F$8,Assumptions!$F$12,0)</f>
        <v>16</v>
      </c>
      <c r="BE10" s="24" t="n">
        <f aca="false">IF(BE$3&gt;=Assumptions!$F$8,Assumptions!$F$12,0)</f>
        <v>16</v>
      </c>
      <c r="BF10" s="24" t="n">
        <f aca="false">IF(BF$3&gt;=Assumptions!$F$8,Assumptions!$F$12,0)</f>
        <v>16</v>
      </c>
      <c r="BG10" s="24" t="n">
        <f aca="false">IF(BG$3&gt;=Assumptions!$F$8,Assumptions!$F$12,0)</f>
        <v>16</v>
      </c>
      <c r="BH10" s="24" t="n">
        <f aca="false">IF(BH$3&gt;=Assumptions!$F$8,Assumptions!$F$12,0)</f>
        <v>16</v>
      </c>
      <c r="BI10" s="24" t="n">
        <f aca="false">IF(BI$3&gt;=Assumptions!$F$8,Assumptions!$F$12,0)</f>
        <v>16</v>
      </c>
      <c r="BJ10" s="24" t="n">
        <f aca="false">IF(BJ$3&gt;=Assumptions!$F$8,Assumptions!$F$12,0)</f>
        <v>16</v>
      </c>
    </row>
    <row r="11" customFormat="false" ht="15" hidden="false" customHeight="false" outlineLevel="0" collapsed="false">
      <c r="A11" s="9" t="s">
        <v>186</v>
      </c>
      <c r="B11" s="9"/>
      <c r="C11" s="24" t="n">
        <f aca="false">IF(AND(Assumptions!$F$9=1,C$3&gt;=Assumptions!$F$10),Assumptions!$F$13,0)</f>
        <v>0</v>
      </c>
      <c r="D11" s="24" t="n">
        <f aca="false">IF(AND(Assumptions!$F$9=1,D$3&gt;=Assumptions!$F$10),Assumptions!$F$13,0)</f>
        <v>0</v>
      </c>
      <c r="E11" s="24" t="n">
        <f aca="false">IF(AND(Assumptions!$F$9=1,E$3&gt;=Assumptions!$F$10),Assumptions!$F$13,0)</f>
        <v>0</v>
      </c>
      <c r="F11" s="24" t="n">
        <f aca="false">IF(AND(Assumptions!$F$9=1,F$3&gt;=Assumptions!$F$10),Assumptions!$F$13,0)</f>
        <v>0</v>
      </c>
      <c r="G11" s="24" t="n">
        <f aca="false">IF(AND(Assumptions!$F$9=1,G$3&gt;=Assumptions!$F$10),Assumptions!$F$13,0)</f>
        <v>0</v>
      </c>
      <c r="H11" s="24" t="n">
        <f aca="false">IF(AND(Assumptions!$F$9=1,H$3&gt;=Assumptions!$F$10),Assumptions!$F$13,0)</f>
        <v>0</v>
      </c>
      <c r="I11" s="24" t="n">
        <f aca="false">IF(AND(Assumptions!$F$9=1,I$3&gt;=Assumptions!$F$10),Assumptions!$F$13,0)</f>
        <v>0</v>
      </c>
      <c r="J11" s="24" t="n">
        <f aca="false">IF(AND(Assumptions!$F$9=1,J$3&gt;=Assumptions!$F$10),Assumptions!$F$13,0)</f>
        <v>0</v>
      </c>
      <c r="K11" s="24" t="n">
        <f aca="false">IF(AND(Assumptions!$F$9=1,K$3&gt;=Assumptions!$F$10),Assumptions!$F$13,0)</f>
        <v>0</v>
      </c>
      <c r="L11" s="24" t="n">
        <f aca="false">IF(AND(Assumptions!$F$9=1,L$3&gt;=Assumptions!$F$10),Assumptions!$F$13,0)</f>
        <v>0</v>
      </c>
      <c r="M11" s="24" t="n">
        <f aca="false">IF(AND(Assumptions!$F$9=1,M$3&gt;=Assumptions!$F$10),Assumptions!$F$13,0)</f>
        <v>0</v>
      </c>
      <c r="N11" s="24" t="n">
        <f aca="false">IF(AND(Assumptions!$F$9=1,N$3&gt;=Assumptions!$F$10),Assumptions!$F$13,0)</f>
        <v>0</v>
      </c>
      <c r="O11" s="24" t="n">
        <f aca="false">IF(AND(Assumptions!$F$9=1,O$3&gt;=Assumptions!$F$10),Assumptions!$F$13,0)</f>
        <v>0</v>
      </c>
      <c r="P11" s="24" t="n">
        <f aca="false">IF(AND(Assumptions!$F$9=1,P$3&gt;=Assumptions!$F$10),Assumptions!$F$13,0)</f>
        <v>0</v>
      </c>
      <c r="Q11" s="24" t="n">
        <f aca="false">IF(AND(Assumptions!$F$9=1,Q$3&gt;=Assumptions!$F$10),Assumptions!$F$13,0)</f>
        <v>0</v>
      </c>
      <c r="R11" s="24" t="n">
        <f aca="false">IF(AND(Assumptions!$F$9=1,R$3&gt;=Assumptions!$F$10),Assumptions!$F$13,0)</f>
        <v>0</v>
      </c>
      <c r="S11" s="24" t="n">
        <f aca="false">IF(AND(Assumptions!$F$9=1,S$3&gt;=Assumptions!$F$10),Assumptions!$F$13,0)</f>
        <v>16</v>
      </c>
      <c r="T11" s="24" t="n">
        <f aca="false">IF(AND(Assumptions!$F$9=1,T$3&gt;=Assumptions!$F$10),Assumptions!$F$13,0)</f>
        <v>16</v>
      </c>
      <c r="U11" s="24" t="n">
        <f aca="false">IF(AND(Assumptions!$F$9=1,U$3&gt;=Assumptions!$F$10),Assumptions!$F$13,0)</f>
        <v>16</v>
      </c>
      <c r="V11" s="24" t="n">
        <f aca="false">IF(AND(Assumptions!$F$9=1,V$3&gt;=Assumptions!$F$10),Assumptions!$F$13,0)</f>
        <v>16</v>
      </c>
      <c r="W11" s="24" t="n">
        <f aca="false">IF(AND(Assumptions!$F$9=1,W$3&gt;=Assumptions!$F$10),Assumptions!$F$13,0)</f>
        <v>16</v>
      </c>
      <c r="X11" s="24" t="n">
        <f aca="false">IF(AND(Assumptions!$F$9=1,X$3&gt;=Assumptions!$F$10),Assumptions!$F$13,0)</f>
        <v>16</v>
      </c>
      <c r="Y11" s="24" t="n">
        <f aca="false">IF(AND(Assumptions!$F$9=1,Y$3&gt;=Assumptions!$F$10),Assumptions!$F$13,0)</f>
        <v>16</v>
      </c>
      <c r="Z11" s="24" t="n">
        <f aca="false">IF(AND(Assumptions!$F$9=1,Z$3&gt;=Assumptions!$F$10),Assumptions!$F$13,0)</f>
        <v>16</v>
      </c>
      <c r="AA11" s="24" t="n">
        <f aca="false">IF(AND(Assumptions!$F$9=1,AA$3&gt;=Assumptions!$F$10),Assumptions!$F$13,0)</f>
        <v>16</v>
      </c>
      <c r="AB11" s="24" t="n">
        <f aca="false">IF(AND(Assumptions!$F$9=1,AB$3&gt;=Assumptions!$F$10),Assumptions!$F$13,0)</f>
        <v>16</v>
      </c>
      <c r="AC11" s="24" t="n">
        <f aca="false">IF(AND(Assumptions!$F$9=1,AC$3&gt;=Assumptions!$F$10),Assumptions!$F$13,0)</f>
        <v>16</v>
      </c>
      <c r="AD11" s="24" t="n">
        <f aca="false">IF(AND(Assumptions!$F$9=1,AD$3&gt;=Assumptions!$F$10),Assumptions!$F$13,0)</f>
        <v>16</v>
      </c>
      <c r="AE11" s="24" t="n">
        <f aca="false">IF(AND(Assumptions!$F$9=1,AE$3&gt;=Assumptions!$F$10),Assumptions!$F$13,0)</f>
        <v>16</v>
      </c>
      <c r="AF11" s="24" t="n">
        <f aca="false">IF(AND(Assumptions!$F$9=1,AF$3&gt;=Assumptions!$F$10),Assumptions!$F$13,0)</f>
        <v>16</v>
      </c>
      <c r="AG11" s="24" t="n">
        <f aca="false">IF(AND(Assumptions!$F$9=1,AG$3&gt;=Assumptions!$F$10),Assumptions!$F$13,0)</f>
        <v>16</v>
      </c>
      <c r="AH11" s="24" t="n">
        <f aca="false">IF(AND(Assumptions!$F$9=1,AH$3&gt;=Assumptions!$F$10),Assumptions!$F$13,0)</f>
        <v>16</v>
      </c>
      <c r="AI11" s="24" t="n">
        <f aca="false">IF(AND(Assumptions!$F$9=1,AI$3&gt;=Assumptions!$F$10),Assumptions!$F$13,0)</f>
        <v>16</v>
      </c>
      <c r="AJ11" s="24" t="n">
        <f aca="false">IF(AND(Assumptions!$F$9=1,AJ$3&gt;=Assumptions!$F$10),Assumptions!$F$13,0)</f>
        <v>16</v>
      </c>
      <c r="AK11" s="24" t="n">
        <f aca="false">IF(AND(Assumptions!$F$9=1,AK$3&gt;=Assumptions!$F$10),Assumptions!$F$13,0)</f>
        <v>16</v>
      </c>
      <c r="AL11" s="24" t="n">
        <f aca="false">IF(AND(Assumptions!$F$9=1,AL$3&gt;=Assumptions!$F$10),Assumptions!$F$13,0)</f>
        <v>16</v>
      </c>
      <c r="AM11" s="24" t="n">
        <f aca="false">IF(AND(Assumptions!$F$9=1,AM$3&gt;=Assumptions!$F$10),Assumptions!$F$13,0)</f>
        <v>16</v>
      </c>
      <c r="AN11" s="24" t="n">
        <f aca="false">IF(AND(Assumptions!$F$9=1,AN$3&gt;=Assumptions!$F$10),Assumptions!$F$13,0)</f>
        <v>16</v>
      </c>
      <c r="AO11" s="24" t="n">
        <f aca="false">IF(AND(Assumptions!$F$9=1,AO$3&gt;=Assumptions!$F$10),Assumptions!$F$13,0)</f>
        <v>16</v>
      </c>
      <c r="AP11" s="24" t="n">
        <f aca="false">IF(AND(Assumptions!$F$9=1,AP$3&gt;=Assumptions!$F$10),Assumptions!$F$13,0)</f>
        <v>16</v>
      </c>
      <c r="AQ11" s="24" t="n">
        <f aca="false">IF(AND(Assumptions!$F$9=1,AQ$3&gt;=Assumptions!$F$10),Assumptions!$F$13,0)</f>
        <v>16</v>
      </c>
      <c r="AR11" s="24" t="n">
        <f aca="false">IF(AND(Assumptions!$F$9=1,AR$3&gt;=Assumptions!$F$10),Assumptions!$F$13,0)</f>
        <v>16</v>
      </c>
      <c r="AS11" s="24" t="n">
        <f aca="false">IF(AND(Assumptions!$F$9=1,AS$3&gt;=Assumptions!$F$10),Assumptions!$F$13,0)</f>
        <v>16</v>
      </c>
      <c r="AT11" s="24" t="n">
        <f aca="false">IF(AND(Assumptions!$F$9=1,AT$3&gt;=Assumptions!$F$10),Assumptions!$F$13,0)</f>
        <v>16</v>
      </c>
      <c r="AU11" s="24" t="n">
        <f aca="false">IF(AND(Assumptions!$F$9=1,AU$3&gt;=Assumptions!$F$10),Assumptions!$F$13,0)</f>
        <v>16</v>
      </c>
      <c r="AV11" s="24" t="n">
        <f aca="false">IF(AND(Assumptions!$F$9=1,AV$3&gt;=Assumptions!$F$10),Assumptions!$F$13,0)</f>
        <v>16</v>
      </c>
      <c r="AW11" s="24" t="n">
        <f aca="false">IF(AND(Assumptions!$F$9=1,AW$3&gt;=Assumptions!$F$10),Assumptions!$F$13,0)</f>
        <v>16</v>
      </c>
      <c r="AX11" s="24" t="n">
        <f aca="false">IF(AND(Assumptions!$F$9=1,AX$3&gt;=Assumptions!$F$10),Assumptions!$F$13,0)</f>
        <v>16</v>
      </c>
      <c r="AY11" s="24" t="n">
        <f aca="false">IF(AND(Assumptions!$F$9=1,AY$3&gt;=Assumptions!$F$10),Assumptions!$F$13,0)</f>
        <v>16</v>
      </c>
      <c r="AZ11" s="24" t="n">
        <f aca="false">IF(AND(Assumptions!$F$9=1,AZ$3&gt;=Assumptions!$F$10),Assumptions!$F$13,0)</f>
        <v>16</v>
      </c>
      <c r="BA11" s="24" t="n">
        <f aca="false">IF(AND(Assumptions!$F$9=1,BA$3&gt;=Assumptions!$F$10),Assumptions!$F$13,0)</f>
        <v>16</v>
      </c>
      <c r="BB11" s="24" t="n">
        <f aca="false">IF(AND(Assumptions!$F$9=1,BB$3&gt;=Assumptions!$F$10),Assumptions!$F$13,0)</f>
        <v>16</v>
      </c>
      <c r="BC11" s="24" t="n">
        <f aca="false">IF(AND(Assumptions!$F$9=1,BC$3&gt;=Assumptions!$F$10),Assumptions!$F$13,0)</f>
        <v>16</v>
      </c>
      <c r="BD11" s="24" t="n">
        <f aca="false">IF(AND(Assumptions!$F$9=1,BD$3&gt;=Assumptions!$F$10),Assumptions!$F$13,0)</f>
        <v>16</v>
      </c>
      <c r="BE11" s="24" t="n">
        <f aca="false">IF(AND(Assumptions!$F$9=1,BE$3&gt;=Assumptions!$F$10),Assumptions!$F$13,0)</f>
        <v>16</v>
      </c>
      <c r="BF11" s="24" t="n">
        <f aca="false">IF(AND(Assumptions!$F$9=1,BF$3&gt;=Assumptions!$F$10),Assumptions!$F$13,0)</f>
        <v>16</v>
      </c>
      <c r="BG11" s="24" t="n">
        <f aca="false">IF(AND(Assumptions!$F$9=1,BG$3&gt;=Assumptions!$F$10),Assumptions!$F$13,0)</f>
        <v>16</v>
      </c>
      <c r="BH11" s="24" t="n">
        <f aca="false">IF(AND(Assumptions!$F$9=1,BH$3&gt;=Assumptions!$F$10),Assumptions!$F$13,0)</f>
        <v>16</v>
      </c>
      <c r="BI11" s="24" t="n">
        <f aca="false">IF(AND(Assumptions!$F$9=1,BI$3&gt;=Assumptions!$F$10),Assumptions!$F$13,0)</f>
        <v>16</v>
      </c>
      <c r="BJ11" s="24" t="n">
        <f aca="false">IF(AND(Assumptions!$F$9=1,BJ$3&gt;=Assumptions!$F$10),Assumptions!$F$13,0)</f>
        <v>16</v>
      </c>
    </row>
    <row r="12" customFormat="false" ht="15" hidden="false" customHeight="false" outlineLevel="0" collapsed="false">
      <c r="A12" s="9" t="s">
        <v>187</v>
      </c>
      <c r="B12" s="9"/>
      <c r="C12" s="25" t="n">
        <f aca="false">IF(C$3&lt;Assumptions!$F$8,0,IF(C$3&lt;Assumptions!$F$8+Assumptions!$F$16,Assumptions!$F$17,Assumptions!$F$18))</f>
        <v>0</v>
      </c>
      <c r="D12" s="25" t="n">
        <f aca="false">IF(D$3&lt;Assumptions!$F$8,0,IF(D$3&lt;Assumptions!$F$8+Assumptions!$F$16,Assumptions!$F$17,Assumptions!$F$18))</f>
        <v>0</v>
      </c>
      <c r="E12" s="25" t="n">
        <f aca="false">IF(E$3&lt;Assumptions!$F$8,0,IF(E$3&lt;Assumptions!$F$8+Assumptions!$F$16,Assumptions!$F$17,Assumptions!$F$18))</f>
        <v>0</v>
      </c>
      <c r="F12" s="25" t="n">
        <f aca="false">IF(F$3&lt;Assumptions!$F$8,0,IF(F$3&lt;Assumptions!$F$8+Assumptions!$F$16,Assumptions!$F$17,Assumptions!$F$18))</f>
        <v>0</v>
      </c>
      <c r="G12" s="25" t="n">
        <f aca="false">IF(G$3&lt;Assumptions!$F$8,0,IF(G$3&lt;Assumptions!$F$8+Assumptions!$F$16,Assumptions!$F$17,Assumptions!$F$18))</f>
        <v>0.5</v>
      </c>
      <c r="H12" s="25" t="n">
        <f aca="false">IF(H$3&lt;Assumptions!$F$8,0,IF(H$3&lt;Assumptions!$F$8+Assumptions!$F$16,Assumptions!$F$17,Assumptions!$F$18))</f>
        <v>0.5</v>
      </c>
      <c r="I12" s="25" t="n">
        <f aca="false">IF(I$3&lt;Assumptions!$F$8,0,IF(I$3&lt;Assumptions!$F$8+Assumptions!$F$16,Assumptions!$F$17,Assumptions!$F$18))</f>
        <v>0.5</v>
      </c>
      <c r="J12" s="25" t="n">
        <f aca="false">IF(J$3&lt;Assumptions!$F$8,0,IF(J$3&lt;Assumptions!$F$8+Assumptions!$F$16,Assumptions!$F$17,Assumptions!$F$18))</f>
        <v>0.5</v>
      </c>
      <c r="K12" s="25" t="n">
        <f aca="false">IF(K$3&lt;Assumptions!$F$8,0,IF(K$3&lt;Assumptions!$F$8+Assumptions!$F$16,Assumptions!$F$17,Assumptions!$F$18))</f>
        <v>0.5</v>
      </c>
      <c r="L12" s="25" t="n">
        <f aca="false">IF(L$3&lt;Assumptions!$F$8,0,IF(L$3&lt;Assumptions!$F$8+Assumptions!$F$16,Assumptions!$F$17,Assumptions!$F$18))</f>
        <v>0.5</v>
      </c>
      <c r="M12" s="25" t="n">
        <f aca="false">IF(M$3&lt;Assumptions!$F$8,0,IF(M$3&lt;Assumptions!$F$8+Assumptions!$F$16,Assumptions!$F$17,Assumptions!$F$18))</f>
        <v>0.85</v>
      </c>
      <c r="N12" s="25" t="n">
        <f aca="false">IF(N$3&lt;Assumptions!$F$8,0,IF(N$3&lt;Assumptions!$F$8+Assumptions!$F$16,Assumptions!$F$17,Assumptions!$F$18))</f>
        <v>0.85</v>
      </c>
      <c r="O12" s="25" t="n">
        <f aca="false">IF(O$3&lt;Assumptions!$F$8,0,IF(O$3&lt;Assumptions!$F$8+Assumptions!$F$16,Assumptions!$F$17,Assumptions!$F$18))</f>
        <v>0.85</v>
      </c>
      <c r="P12" s="25" t="n">
        <f aca="false">IF(P$3&lt;Assumptions!$F$8,0,IF(P$3&lt;Assumptions!$F$8+Assumptions!$F$16,Assumptions!$F$17,Assumptions!$F$18))</f>
        <v>0.85</v>
      </c>
      <c r="Q12" s="25" t="n">
        <f aca="false">IF(Q$3&lt;Assumptions!$F$8,0,IF(Q$3&lt;Assumptions!$F$8+Assumptions!$F$16,Assumptions!$F$17,Assumptions!$F$18))</f>
        <v>0.85</v>
      </c>
      <c r="R12" s="25" t="n">
        <f aca="false">IF(R$3&lt;Assumptions!$F$8,0,IF(R$3&lt;Assumptions!$F$8+Assumptions!$F$16,Assumptions!$F$17,Assumptions!$F$18))</f>
        <v>0.85</v>
      </c>
      <c r="S12" s="25" t="n">
        <f aca="false">IF(S$3&lt;Assumptions!$F$8,0,IF(S$3&lt;Assumptions!$F$8+Assumptions!$F$16,Assumptions!$F$17,Assumptions!$F$18))</f>
        <v>0.85</v>
      </c>
      <c r="T12" s="25" t="n">
        <f aca="false">IF(T$3&lt;Assumptions!$F$8,0,IF(T$3&lt;Assumptions!$F$8+Assumptions!$F$16,Assumptions!$F$17,Assumptions!$F$18))</f>
        <v>0.85</v>
      </c>
      <c r="U12" s="25" t="n">
        <f aca="false">IF(U$3&lt;Assumptions!$F$8,0,IF(U$3&lt;Assumptions!$F$8+Assumptions!$F$16,Assumptions!$F$17,Assumptions!$F$18))</f>
        <v>0.85</v>
      </c>
      <c r="V12" s="25" t="n">
        <f aca="false">IF(V$3&lt;Assumptions!$F$8,0,IF(V$3&lt;Assumptions!$F$8+Assumptions!$F$16,Assumptions!$F$17,Assumptions!$F$18))</f>
        <v>0.85</v>
      </c>
      <c r="W12" s="25" t="n">
        <f aca="false">IF(W$3&lt;Assumptions!$F$8,0,IF(W$3&lt;Assumptions!$F$8+Assumptions!$F$16,Assumptions!$F$17,Assumptions!$F$18))</f>
        <v>0.85</v>
      </c>
      <c r="X12" s="25" t="n">
        <f aca="false">IF(X$3&lt;Assumptions!$F$8,0,IF(X$3&lt;Assumptions!$F$8+Assumptions!$F$16,Assumptions!$F$17,Assumptions!$F$18))</f>
        <v>0.85</v>
      </c>
      <c r="Y12" s="25" t="n">
        <f aca="false">IF(Y$3&lt;Assumptions!$F$8,0,IF(Y$3&lt;Assumptions!$F$8+Assumptions!$F$16,Assumptions!$F$17,Assumptions!$F$18))</f>
        <v>0.85</v>
      </c>
      <c r="Z12" s="25" t="n">
        <f aca="false">IF(Z$3&lt;Assumptions!$F$8,0,IF(Z$3&lt;Assumptions!$F$8+Assumptions!$F$16,Assumptions!$F$17,Assumptions!$F$18))</f>
        <v>0.85</v>
      </c>
      <c r="AA12" s="25" t="n">
        <f aca="false">IF(AA$3&lt;Assumptions!$F$8,0,IF(AA$3&lt;Assumptions!$F$8+Assumptions!$F$16,Assumptions!$F$17,Assumptions!$F$18))</f>
        <v>0.85</v>
      </c>
      <c r="AB12" s="25" t="n">
        <f aca="false">IF(AB$3&lt;Assumptions!$F$8,0,IF(AB$3&lt;Assumptions!$F$8+Assumptions!$F$16,Assumptions!$F$17,Assumptions!$F$18))</f>
        <v>0.85</v>
      </c>
      <c r="AC12" s="25" t="n">
        <f aca="false">IF(AC$3&lt;Assumptions!$F$8,0,IF(AC$3&lt;Assumptions!$F$8+Assumptions!$F$16,Assumptions!$F$17,Assumptions!$F$18))</f>
        <v>0.85</v>
      </c>
      <c r="AD12" s="25" t="n">
        <f aca="false">IF(AD$3&lt;Assumptions!$F$8,0,IF(AD$3&lt;Assumptions!$F$8+Assumptions!$F$16,Assumptions!$F$17,Assumptions!$F$18))</f>
        <v>0.85</v>
      </c>
      <c r="AE12" s="25" t="n">
        <f aca="false">IF(AE$3&lt;Assumptions!$F$8,0,IF(AE$3&lt;Assumptions!$F$8+Assumptions!$F$16,Assumptions!$F$17,Assumptions!$F$18))</f>
        <v>0.85</v>
      </c>
      <c r="AF12" s="25" t="n">
        <f aca="false">IF(AF$3&lt;Assumptions!$F$8,0,IF(AF$3&lt;Assumptions!$F$8+Assumptions!$F$16,Assumptions!$F$17,Assumptions!$F$18))</f>
        <v>0.85</v>
      </c>
      <c r="AG12" s="25" t="n">
        <f aca="false">IF(AG$3&lt;Assumptions!$F$8,0,IF(AG$3&lt;Assumptions!$F$8+Assumptions!$F$16,Assumptions!$F$17,Assumptions!$F$18))</f>
        <v>0.85</v>
      </c>
      <c r="AH12" s="25" t="n">
        <f aca="false">IF(AH$3&lt;Assumptions!$F$8,0,IF(AH$3&lt;Assumptions!$F$8+Assumptions!$F$16,Assumptions!$F$17,Assumptions!$F$18))</f>
        <v>0.85</v>
      </c>
      <c r="AI12" s="25" t="n">
        <f aca="false">IF(AI$3&lt;Assumptions!$F$8,0,IF(AI$3&lt;Assumptions!$F$8+Assumptions!$F$16,Assumptions!$F$17,Assumptions!$F$18))</f>
        <v>0.85</v>
      </c>
      <c r="AJ12" s="25" t="n">
        <f aca="false">IF(AJ$3&lt;Assumptions!$F$8,0,IF(AJ$3&lt;Assumptions!$F$8+Assumptions!$F$16,Assumptions!$F$17,Assumptions!$F$18))</f>
        <v>0.85</v>
      </c>
      <c r="AK12" s="25" t="n">
        <f aca="false">IF(AK$3&lt;Assumptions!$F$8,0,IF(AK$3&lt;Assumptions!$F$8+Assumptions!$F$16,Assumptions!$F$17,Assumptions!$F$18))</f>
        <v>0.85</v>
      </c>
      <c r="AL12" s="25" t="n">
        <f aca="false">IF(AL$3&lt;Assumptions!$F$8,0,IF(AL$3&lt;Assumptions!$F$8+Assumptions!$F$16,Assumptions!$F$17,Assumptions!$F$18))</f>
        <v>0.85</v>
      </c>
      <c r="AM12" s="25" t="n">
        <f aca="false">IF(AM$3&lt;Assumptions!$F$8,0,IF(AM$3&lt;Assumptions!$F$8+Assumptions!$F$16,Assumptions!$F$17,Assumptions!$F$18))</f>
        <v>0.85</v>
      </c>
      <c r="AN12" s="25" t="n">
        <f aca="false">IF(AN$3&lt;Assumptions!$F$8,0,IF(AN$3&lt;Assumptions!$F$8+Assumptions!$F$16,Assumptions!$F$17,Assumptions!$F$18))</f>
        <v>0.85</v>
      </c>
      <c r="AO12" s="25" t="n">
        <f aca="false">IF(AO$3&lt;Assumptions!$F$8,0,IF(AO$3&lt;Assumptions!$F$8+Assumptions!$F$16,Assumptions!$F$17,Assumptions!$F$18))</f>
        <v>0.85</v>
      </c>
      <c r="AP12" s="25" t="n">
        <f aca="false">IF(AP$3&lt;Assumptions!$F$8,0,IF(AP$3&lt;Assumptions!$F$8+Assumptions!$F$16,Assumptions!$F$17,Assumptions!$F$18))</f>
        <v>0.85</v>
      </c>
      <c r="AQ12" s="25" t="n">
        <f aca="false">IF(AQ$3&lt;Assumptions!$F$8,0,IF(AQ$3&lt;Assumptions!$F$8+Assumptions!$F$16,Assumptions!$F$17,Assumptions!$F$18))</f>
        <v>0.85</v>
      </c>
      <c r="AR12" s="25" t="n">
        <f aca="false">IF(AR$3&lt;Assumptions!$F$8,0,IF(AR$3&lt;Assumptions!$F$8+Assumptions!$F$16,Assumptions!$F$17,Assumptions!$F$18))</f>
        <v>0.85</v>
      </c>
      <c r="AS12" s="25" t="n">
        <f aca="false">IF(AS$3&lt;Assumptions!$F$8,0,IF(AS$3&lt;Assumptions!$F$8+Assumptions!$F$16,Assumptions!$F$17,Assumptions!$F$18))</f>
        <v>0.85</v>
      </c>
      <c r="AT12" s="25" t="n">
        <f aca="false">IF(AT$3&lt;Assumptions!$F$8,0,IF(AT$3&lt;Assumptions!$F$8+Assumptions!$F$16,Assumptions!$F$17,Assumptions!$F$18))</f>
        <v>0.85</v>
      </c>
      <c r="AU12" s="25" t="n">
        <f aca="false">IF(AU$3&lt;Assumptions!$F$8,0,IF(AU$3&lt;Assumptions!$F$8+Assumptions!$F$16,Assumptions!$F$17,Assumptions!$F$18))</f>
        <v>0.85</v>
      </c>
      <c r="AV12" s="25" t="n">
        <f aca="false">IF(AV$3&lt;Assumptions!$F$8,0,IF(AV$3&lt;Assumptions!$F$8+Assumptions!$F$16,Assumptions!$F$17,Assumptions!$F$18))</f>
        <v>0.85</v>
      </c>
      <c r="AW12" s="25" t="n">
        <f aca="false">IF(AW$3&lt;Assumptions!$F$8,0,IF(AW$3&lt;Assumptions!$F$8+Assumptions!$F$16,Assumptions!$F$17,Assumptions!$F$18))</f>
        <v>0.85</v>
      </c>
      <c r="AX12" s="25" t="n">
        <f aca="false">IF(AX$3&lt;Assumptions!$F$8,0,IF(AX$3&lt;Assumptions!$F$8+Assumptions!$F$16,Assumptions!$F$17,Assumptions!$F$18))</f>
        <v>0.85</v>
      </c>
      <c r="AY12" s="25" t="n">
        <f aca="false">IF(AY$3&lt;Assumptions!$F$8,0,IF(AY$3&lt;Assumptions!$F$8+Assumptions!$F$16,Assumptions!$F$17,Assumptions!$F$18))</f>
        <v>0.85</v>
      </c>
      <c r="AZ12" s="25" t="n">
        <f aca="false">IF(AZ$3&lt;Assumptions!$F$8,0,IF(AZ$3&lt;Assumptions!$F$8+Assumptions!$F$16,Assumptions!$F$17,Assumptions!$F$18))</f>
        <v>0.85</v>
      </c>
      <c r="BA12" s="25" t="n">
        <f aca="false">IF(BA$3&lt;Assumptions!$F$8,0,IF(BA$3&lt;Assumptions!$F$8+Assumptions!$F$16,Assumptions!$F$17,Assumptions!$F$18))</f>
        <v>0.85</v>
      </c>
      <c r="BB12" s="25" t="n">
        <f aca="false">IF(BB$3&lt;Assumptions!$F$8,0,IF(BB$3&lt;Assumptions!$F$8+Assumptions!$F$16,Assumptions!$F$17,Assumptions!$F$18))</f>
        <v>0.85</v>
      </c>
      <c r="BC12" s="25" t="n">
        <f aca="false">IF(BC$3&lt;Assumptions!$F$8,0,IF(BC$3&lt;Assumptions!$F$8+Assumptions!$F$16,Assumptions!$F$17,Assumptions!$F$18))</f>
        <v>0.85</v>
      </c>
      <c r="BD12" s="25" t="n">
        <f aca="false">IF(BD$3&lt;Assumptions!$F$8,0,IF(BD$3&lt;Assumptions!$F$8+Assumptions!$F$16,Assumptions!$F$17,Assumptions!$F$18))</f>
        <v>0.85</v>
      </c>
      <c r="BE12" s="25" t="n">
        <f aca="false">IF(BE$3&lt;Assumptions!$F$8,0,IF(BE$3&lt;Assumptions!$F$8+Assumptions!$F$16,Assumptions!$F$17,Assumptions!$F$18))</f>
        <v>0.85</v>
      </c>
      <c r="BF12" s="25" t="n">
        <f aca="false">IF(BF$3&lt;Assumptions!$F$8,0,IF(BF$3&lt;Assumptions!$F$8+Assumptions!$F$16,Assumptions!$F$17,Assumptions!$F$18))</f>
        <v>0.85</v>
      </c>
      <c r="BG12" s="25" t="n">
        <f aca="false">IF(BG$3&lt;Assumptions!$F$8,0,IF(BG$3&lt;Assumptions!$F$8+Assumptions!$F$16,Assumptions!$F$17,Assumptions!$F$18))</f>
        <v>0.85</v>
      </c>
      <c r="BH12" s="25" t="n">
        <f aca="false">IF(BH$3&lt;Assumptions!$F$8,0,IF(BH$3&lt;Assumptions!$F$8+Assumptions!$F$16,Assumptions!$F$17,Assumptions!$F$18))</f>
        <v>0.85</v>
      </c>
      <c r="BI12" s="25" t="n">
        <f aca="false">IF(BI$3&lt;Assumptions!$F$8,0,IF(BI$3&lt;Assumptions!$F$8+Assumptions!$F$16,Assumptions!$F$17,Assumptions!$F$18))</f>
        <v>0.85</v>
      </c>
      <c r="BJ12" s="25" t="n">
        <f aca="false">IF(BJ$3&lt;Assumptions!$F$8,0,IF(BJ$3&lt;Assumptions!$F$8+Assumptions!$F$16,Assumptions!$F$17,Assumptions!$F$18))</f>
        <v>0.85</v>
      </c>
    </row>
    <row r="13" customFormat="false" ht="15" hidden="false" customHeight="false" outlineLevel="0" collapsed="false">
      <c r="A13" s="9" t="s">
        <v>188</v>
      </c>
      <c r="B13" s="9"/>
      <c r="C13" s="25" t="n">
        <f aca="false">IF(C$3&lt;Assumptions!$F$10,0,IF(C$3&lt;Assumptions!$F$10+Assumptions!$F$16,Assumptions!$F$17,Assumptions!$F$18))</f>
        <v>0</v>
      </c>
      <c r="D13" s="25" t="n">
        <f aca="false">IF(D$3&lt;Assumptions!$F$10,0,IF(D$3&lt;Assumptions!$F$10+Assumptions!$F$16,Assumptions!$F$17,Assumptions!$F$18))</f>
        <v>0</v>
      </c>
      <c r="E13" s="25" t="n">
        <f aca="false">IF(E$3&lt;Assumptions!$F$10,0,IF(E$3&lt;Assumptions!$F$10+Assumptions!$F$16,Assumptions!$F$17,Assumptions!$F$18))</f>
        <v>0</v>
      </c>
      <c r="F13" s="25" t="n">
        <f aca="false">IF(F$3&lt;Assumptions!$F$10,0,IF(F$3&lt;Assumptions!$F$10+Assumptions!$F$16,Assumptions!$F$17,Assumptions!$F$18))</f>
        <v>0</v>
      </c>
      <c r="G13" s="25" t="n">
        <f aca="false">IF(G$3&lt;Assumptions!$F$10,0,IF(G$3&lt;Assumptions!$F$10+Assumptions!$F$16,Assumptions!$F$17,Assumptions!$F$18))</f>
        <v>0</v>
      </c>
      <c r="H13" s="25" t="n">
        <f aca="false">IF(H$3&lt;Assumptions!$F$10,0,IF(H$3&lt;Assumptions!$F$10+Assumptions!$F$16,Assumptions!$F$17,Assumptions!$F$18))</f>
        <v>0</v>
      </c>
      <c r="I13" s="25" t="n">
        <f aca="false">IF(I$3&lt;Assumptions!$F$10,0,IF(I$3&lt;Assumptions!$F$10+Assumptions!$F$16,Assumptions!$F$17,Assumptions!$F$18))</f>
        <v>0</v>
      </c>
      <c r="J13" s="25" t="n">
        <f aca="false">IF(J$3&lt;Assumptions!$F$10,0,IF(J$3&lt;Assumptions!$F$10+Assumptions!$F$16,Assumptions!$F$17,Assumptions!$F$18))</f>
        <v>0</v>
      </c>
      <c r="K13" s="25" t="n">
        <f aca="false">IF(K$3&lt;Assumptions!$F$10,0,IF(K$3&lt;Assumptions!$F$10+Assumptions!$F$16,Assumptions!$F$17,Assumptions!$F$18))</f>
        <v>0</v>
      </c>
      <c r="L13" s="25" t="n">
        <f aca="false">IF(L$3&lt;Assumptions!$F$10,0,IF(L$3&lt;Assumptions!$F$10+Assumptions!$F$16,Assumptions!$F$17,Assumptions!$F$18))</f>
        <v>0</v>
      </c>
      <c r="M13" s="25" t="n">
        <f aca="false">IF(M$3&lt;Assumptions!$F$10,0,IF(M$3&lt;Assumptions!$F$10+Assumptions!$F$16,Assumptions!$F$17,Assumptions!$F$18))</f>
        <v>0</v>
      </c>
      <c r="N13" s="25" t="n">
        <f aca="false">IF(N$3&lt;Assumptions!$F$10,0,IF(N$3&lt;Assumptions!$F$10+Assumptions!$F$16,Assumptions!$F$17,Assumptions!$F$18))</f>
        <v>0</v>
      </c>
      <c r="O13" s="25" t="n">
        <f aca="false">IF(O$3&lt;Assumptions!$F$10,0,IF(O$3&lt;Assumptions!$F$10+Assumptions!$F$16,Assumptions!$F$17,Assumptions!$F$18))</f>
        <v>0</v>
      </c>
      <c r="P13" s="25" t="n">
        <f aca="false">IF(P$3&lt;Assumptions!$F$10,0,IF(P$3&lt;Assumptions!$F$10+Assumptions!$F$16,Assumptions!$F$17,Assumptions!$F$18))</f>
        <v>0</v>
      </c>
      <c r="Q13" s="25" t="n">
        <f aca="false">IF(Q$3&lt;Assumptions!$F$10,0,IF(Q$3&lt;Assumptions!$F$10+Assumptions!$F$16,Assumptions!$F$17,Assumptions!$F$18))</f>
        <v>0</v>
      </c>
      <c r="R13" s="25" t="n">
        <f aca="false">IF(R$3&lt;Assumptions!$F$10,0,IF(R$3&lt;Assumptions!$F$10+Assumptions!$F$16,Assumptions!$F$17,Assumptions!$F$18))</f>
        <v>0</v>
      </c>
      <c r="S13" s="25" t="n">
        <f aca="false">IF(S$3&lt;Assumptions!$F$10,0,IF(S$3&lt;Assumptions!$F$10+Assumptions!$F$16,Assumptions!$F$17,Assumptions!$F$18))</f>
        <v>0.5</v>
      </c>
      <c r="T13" s="25" t="n">
        <f aca="false">IF(T$3&lt;Assumptions!$F$10,0,IF(T$3&lt;Assumptions!$F$10+Assumptions!$F$16,Assumptions!$F$17,Assumptions!$F$18))</f>
        <v>0.5</v>
      </c>
      <c r="U13" s="25" t="n">
        <f aca="false">IF(U$3&lt;Assumptions!$F$10,0,IF(U$3&lt;Assumptions!$F$10+Assumptions!$F$16,Assumptions!$F$17,Assumptions!$F$18))</f>
        <v>0.5</v>
      </c>
      <c r="V13" s="25" t="n">
        <f aca="false">IF(V$3&lt;Assumptions!$F$10,0,IF(V$3&lt;Assumptions!$F$10+Assumptions!$F$16,Assumptions!$F$17,Assumptions!$F$18))</f>
        <v>0.5</v>
      </c>
      <c r="W13" s="25" t="n">
        <f aca="false">IF(W$3&lt;Assumptions!$F$10,0,IF(W$3&lt;Assumptions!$F$10+Assumptions!$F$16,Assumptions!$F$17,Assumptions!$F$18))</f>
        <v>0.5</v>
      </c>
      <c r="X13" s="25" t="n">
        <f aca="false">IF(X$3&lt;Assumptions!$F$10,0,IF(X$3&lt;Assumptions!$F$10+Assumptions!$F$16,Assumptions!$F$17,Assumptions!$F$18))</f>
        <v>0.5</v>
      </c>
      <c r="Y13" s="25" t="n">
        <f aca="false">IF(Y$3&lt;Assumptions!$F$10,0,IF(Y$3&lt;Assumptions!$F$10+Assumptions!$F$16,Assumptions!$F$17,Assumptions!$F$18))</f>
        <v>0.85</v>
      </c>
      <c r="Z13" s="25" t="n">
        <f aca="false">IF(Z$3&lt;Assumptions!$F$10,0,IF(Z$3&lt;Assumptions!$F$10+Assumptions!$F$16,Assumptions!$F$17,Assumptions!$F$18))</f>
        <v>0.85</v>
      </c>
      <c r="AA13" s="25" t="n">
        <f aca="false">IF(AA$3&lt;Assumptions!$F$10,0,IF(AA$3&lt;Assumptions!$F$10+Assumptions!$F$16,Assumptions!$F$17,Assumptions!$F$18))</f>
        <v>0.85</v>
      </c>
      <c r="AB13" s="25" t="n">
        <f aca="false">IF(AB$3&lt;Assumptions!$F$10,0,IF(AB$3&lt;Assumptions!$F$10+Assumptions!$F$16,Assumptions!$F$17,Assumptions!$F$18))</f>
        <v>0.85</v>
      </c>
      <c r="AC13" s="25" t="n">
        <f aca="false">IF(AC$3&lt;Assumptions!$F$10,0,IF(AC$3&lt;Assumptions!$F$10+Assumptions!$F$16,Assumptions!$F$17,Assumptions!$F$18))</f>
        <v>0.85</v>
      </c>
      <c r="AD13" s="25" t="n">
        <f aca="false">IF(AD$3&lt;Assumptions!$F$10,0,IF(AD$3&lt;Assumptions!$F$10+Assumptions!$F$16,Assumptions!$F$17,Assumptions!$F$18))</f>
        <v>0.85</v>
      </c>
      <c r="AE13" s="25" t="n">
        <f aca="false">IF(AE$3&lt;Assumptions!$F$10,0,IF(AE$3&lt;Assumptions!$F$10+Assumptions!$F$16,Assumptions!$F$17,Assumptions!$F$18))</f>
        <v>0.85</v>
      </c>
      <c r="AF13" s="25" t="n">
        <f aca="false">IF(AF$3&lt;Assumptions!$F$10,0,IF(AF$3&lt;Assumptions!$F$10+Assumptions!$F$16,Assumptions!$F$17,Assumptions!$F$18))</f>
        <v>0.85</v>
      </c>
      <c r="AG13" s="25" t="n">
        <f aca="false">IF(AG$3&lt;Assumptions!$F$10,0,IF(AG$3&lt;Assumptions!$F$10+Assumptions!$F$16,Assumptions!$F$17,Assumptions!$F$18))</f>
        <v>0.85</v>
      </c>
      <c r="AH13" s="25" t="n">
        <f aca="false">IF(AH$3&lt;Assumptions!$F$10,0,IF(AH$3&lt;Assumptions!$F$10+Assumptions!$F$16,Assumptions!$F$17,Assumptions!$F$18))</f>
        <v>0.85</v>
      </c>
      <c r="AI13" s="25" t="n">
        <f aca="false">IF(AI$3&lt;Assumptions!$F$10,0,IF(AI$3&lt;Assumptions!$F$10+Assumptions!$F$16,Assumptions!$F$17,Assumptions!$F$18))</f>
        <v>0.85</v>
      </c>
      <c r="AJ13" s="25" t="n">
        <f aca="false">IF(AJ$3&lt;Assumptions!$F$10,0,IF(AJ$3&lt;Assumptions!$F$10+Assumptions!$F$16,Assumptions!$F$17,Assumptions!$F$18))</f>
        <v>0.85</v>
      </c>
      <c r="AK13" s="25" t="n">
        <f aca="false">IF(AK$3&lt;Assumptions!$F$10,0,IF(AK$3&lt;Assumptions!$F$10+Assumptions!$F$16,Assumptions!$F$17,Assumptions!$F$18))</f>
        <v>0.85</v>
      </c>
      <c r="AL13" s="25" t="n">
        <f aca="false">IF(AL$3&lt;Assumptions!$F$10,0,IF(AL$3&lt;Assumptions!$F$10+Assumptions!$F$16,Assumptions!$F$17,Assumptions!$F$18))</f>
        <v>0.85</v>
      </c>
      <c r="AM13" s="25" t="n">
        <f aca="false">IF(AM$3&lt;Assumptions!$F$10,0,IF(AM$3&lt;Assumptions!$F$10+Assumptions!$F$16,Assumptions!$F$17,Assumptions!$F$18))</f>
        <v>0.85</v>
      </c>
      <c r="AN13" s="25" t="n">
        <f aca="false">IF(AN$3&lt;Assumptions!$F$10,0,IF(AN$3&lt;Assumptions!$F$10+Assumptions!$F$16,Assumptions!$F$17,Assumptions!$F$18))</f>
        <v>0.85</v>
      </c>
      <c r="AO13" s="25" t="n">
        <f aca="false">IF(AO$3&lt;Assumptions!$F$10,0,IF(AO$3&lt;Assumptions!$F$10+Assumptions!$F$16,Assumptions!$F$17,Assumptions!$F$18))</f>
        <v>0.85</v>
      </c>
      <c r="AP13" s="25" t="n">
        <f aca="false">IF(AP$3&lt;Assumptions!$F$10,0,IF(AP$3&lt;Assumptions!$F$10+Assumptions!$F$16,Assumptions!$F$17,Assumptions!$F$18))</f>
        <v>0.85</v>
      </c>
      <c r="AQ13" s="25" t="n">
        <f aca="false">IF(AQ$3&lt;Assumptions!$F$10,0,IF(AQ$3&lt;Assumptions!$F$10+Assumptions!$F$16,Assumptions!$F$17,Assumptions!$F$18))</f>
        <v>0.85</v>
      </c>
      <c r="AR13" s="25" t="n">
        <f aca="false">IF(AR$3&lt;Assumptions!$F$10,0,IF(AR$3&lt;Assumptions!$F$10+Assumptions!$F$16,Assumptions!$F$17,Assumptions!$F$18))</f>
        <v>0.85</v>
      </c>
      <c r="AS13" s="25" t="n">
        <f aca="false">IF(AS$3&lt;Assumptions!$F$10,0,IF(AS$3&lt;Assumptions!$F$10+Assumptions!$F$16,Assumptions!$F$17,Assumptions!$F$18))</f>
        <v>0.85</v>
      </c>
      <c r="AT13" s="25" t="n">
        <f aca="false">IF(AT$3&lt;Assumptions!$F$10,0,IF(AT$3&lt;Assumptions!$F$10+Assumptions!$F$16,Assumptions!$F$17,Assumptions!$F$18))</f>
        <v>0.85</v>
      </c>
      <c r="AU13" s="25" t="n">
        <f aca="false">IF(AU$3&lt;Assumptions!$F$10,0,IF(AU$3&lt;Assumptions!$F$10+Assumptions!$F$16,Assumptions!$F$17,Assumptions!$F$18))</f>
        <v>0.85</v>
      </c>
      <c r="AV13" s="25" t="n">
        <f aca="false">IF(AV$3&lt;Assumptions!$F$10,0,IF(AV$3&lt;Assumptions!$F$10+Assumptions!$F$16,Assumptions!$F$17,Assumptions!$F$18))</f>
        <v>0.85</v>
      </c>
      <c r="AW13" s="25" t="n">
        <f aca="false">IF(AW$3&lt;Assumptions!$F$10,0,IF(AW$3&lt;Assumptions!$F$10+Assumptions!$F$16,Assumptions!$F$17,Assumptions!$F$18))</f>
        <v>0.85</v>
      </c>
      <c r="AX13" s="25" t="n">
        <f aca="false">IF(AX$3&lt;Assumptions!$F$10,0,IF(AX$3&lt;Assumptions!$F$10+Assumptions!$F$16,Assumptions!$F$17,Assumptions!$F$18))</f>
        <v>0.85</v>
      </c>
      <c r="AY13" s="25" t="n">
        <f aca="false">IF(AY$3&lt;Assumptions!$F$10,0,IF(AY$3&lt;Assumptions!$F$10+Assumptions!$F$16,Assumptions!$F$17,Assumptions!$F$18))</f>
        <v>0.85</v>
      </c>
      <c r="AZ13" s="25" t="n">
        <f aca="false">IF(AZ$3&lt;Assumptions!$F$10,0,IF(AZ$3&lt;Assumptions!$F$10+Assumptions!$F$16,Assumptions!$F$17,Assumptions!$F$18))</f>
        <v>0.85</v>
      </c>
      <c r="BA13" s="25" t="n">
        <f aca="false">IF(BA$3&lt;Assumptions!$F$10,0,IF(BA$3&lt;Assumptions!$F$10+Assumptions!$F$16,Assumptions!$F$17,Assumptions!$F$18))</f>
        <v>0.85</v>
      </c>
      <c r="BB13" s="25" t="n">
        <f aca="false">IF(BB$3&lt;Assumptions!$F$10,0,IF(BB$3&lt;Assumptions!$F$10+Assumptions!$F$16,Assumptions!$F$17,Assumptions!$F$18))</f>
        <v>0.85</v>
      </c>
      <c r="BC13" s="25" t="n">
        <f aca="false">IF(BC$3&lt;Assumptions!$F$10,0,IF(BC$3&lt;Assumptions!$F$10+Assumptions!$F$16,Assumptions!$F$17,Assumptions!$F$18))</f>
        <v>0.85</v>
      </c>
      <c r="BD13" s="25" t="n">
        <f aca="false">IF(BD$3&lt;Assumptions!$F$10,0,IF(BD$3&lt;Assumptions!$F$10+Assumptions!$F$16,Assumptions!$F$17,Assumptions!$F$18))</f>
        <v>0.85</v>
      </c>
      <c r="BE13" s="25" t="n">
        <f aca="false">IF(BE$3&lt;Assumptions!$F$10,0,IF(BE$3&lt;Assumptions!$F$10+Assumptions!$F$16,Assumptions!$F$17,Assumptions!$F$18))</f>
        <v>0.85</v>
      </c>
      <c r="BF13" s="25" t="n">
        <f aca="false">IF(BF$3&lt;Assumptions!$F$10,0,IF(BF$3&lt;Assumptions!$F$10+Assumptions!$F$16,Assumptions!$F$17,Assumptions!$F$18))</f>
        <v>0.85</v>
      </c>
      <c r="BG13" s="25" t="n">
        <f aca="false">IF(BG$3&lt;Assumptions!$F$10,0,IF(BG$3&lt;Assumptions!$F$10+Assumptions!$F$16,Assumptions!$F$17,Assumptions!$F$18))</f>
        <v>0.85</v>
      </c>
      <c r="BH13" s="25" t="n">
        <f aca="false">IF(BH$3&lt;Assumptions!$F$10,0,IF(BH$3&lt;Assumptions!$F$10+Assumptions!$F$16,Assumptions!$F$17,Assumptions!$F$18))</f>
        <v>0.85</v>
      </c>
      <c r="BI13" s="25" t="n">
        <f aca="false">IF(BI$3&lt;Assumptions!$F$10,0,IF(BI$3&lt;Assumptions!$F$10+Assumptions!$F$16,Assumptions!$F$17,Assumptions!$F$18))</f>
        <v>0.85</v>
      </c>
      <c r="BJ13" s="25" t="n">
        <f aca="false">IF(BJ$3&lt;Assumptions!$F$10,0,IF(BJ$3&lt;Assumptions!$F$10+Assumptions!$F$16,Assumptions!$F$17,Assumptions!$F$18))</f>
        <v>0.85</v>
      </c>
    </row>
    <row r="14" customFormat="false" ht="15" hidden="false" customHeight="false" outlineLevel="0" collapsed="false">
      <c r="A14" s="9" t="s">
        <v>189</v>
      </c>
      <c r="B14" s="9"/>
      <c r="C14" s="26" t="n">
        <f aca="false">(C10*C12+C11*C13)*Assumptions!$F$14/Assumptions!$F$15</f>
        <v>0</v>
      </c>
      <c r="D14" s="26" t="n">
        <f aca="false">(D10*D12+D11*D13)*Assumptions!$F$14/Assumptions!$F$15</f>
        <v>0</v>
      </c>
      <c r="E14" s="26" t="n">
        <f aca="false">(E10*E12+E11*E13)*Assumptions!$F$14/Assumptions!$F$15</f>
        <v>0</v>
      </c>
      <c r="F14" s="26" t="n">
        <f aca="false">(F10*F12+F11*F13)*Assumptions!$F$14/Assumptions!$F$15</f>
        <v>0</v>
      </c>
      <c r="G14" s="26" t="n">
        <f aca="false">(G10*G12+G11*G13)*Assumptions!$F$14/Assumptions!$F$15</f>
        <v>2000</v>
      </c>
      <c r="H14" s="26" t="n">
        <f aca="false">(H10*H12+H11*H13)*Assumptions!$F$14/Assumptions!$F$15</f>
        <v>2000</v>
      </c>
      <c r="I14" s="26" t="n">
        <f aca="false">(I10*I12+I11*I13)*Assumptions!$F$14/Assumptions!$F$15</f>
        <v>2000</v>
      </c>
      <c r="J14" s="26" t="n">
        <f aca="false">(J10*J12+J11*J13)*Assumptions!$F$14/Assumptions!$F$15</f>
        <v>2000</v>
      </c>
      <c r="K14" s="26" t="n">
        <f aca="false">(K10*K12+K11*K13)*Assumptions!$F$14/Assumptions!$F$15</f>
        <v>2000</v>
      </c>
      <c r="L14" s="26" t="n">
        <f aca="false">(L10*L12+L11*L13)*Assumptions!$F$14/Assumptions!$F$15</f>
        <v>2000</v>
      </c>
      <c r="M14" s="26" t="n">
        <f aca="false">(M10*M12+M11*M13)*Assumptions!$F$14/Assumptions!$F$15</f>
        <v>3400</v>
      </c>
      <c r="N14" s="26" t="n">
        <f aca="false">(N10*N12+N11*N13)*Assumptions!$F$14/Assumptions!$F$15</f>
        <v>3400</v>
      </c>
      <c r="O14" s="26" t="n">
        <f aca="false">(O10*O12+O11*O13)*Assumptions!$F$14/Assumptions!$F$15</f>
        <v>3400</v>
      </c>
      <c r="P14" s="26" t="n">
        <f aca="false">(P10*P12+P11*P13)*Assumptions!$F$14/Assumptions!$F$15</f>
        <v>3400</v>
      </c>
      <c r="Q14" s="26" t="n">
        <f aca="false">(Q10*Q12+Q11*Q13)*Assumptions!$F$14/Assumptions!$F$15</f>
        <v>3400</v>
      </c>
      <c r="R14" s="26" t="n">
        <f aca="false">(R10*R12+R11*R13)*Assumptions!$F$14/Assumptions!$F$15</f>
        <v>3400</v>
      </c>
      <c r="S14" s="26" t="n">
        <f aca="false">(S10*S12+S11*S13)*Assumptions!$F$14/Assumptions!$F$15</f>
        <v>5400</v>
      </c>
      <c r="T14" s="26" t="n">
        <f aca="false">(T10*T12+T11*T13)*Assumptions!$F$14/Assumptions!$F$15</f>
        <v>5400</v>
      </c>
      <c r="U14" s="26" t="n">
        <f aca="false">(U10*U12+U11*U13)*Assumptions!$F$14/Assumptions!$F$15</f>
        <v>5400</v>
      </c>
      <c r="V14" s="26" t="n">
        <f aca="false">(V10*V12+V11*V13)*Assumptions!$F$14/Assumptions!$F$15</f>
        <v>5400</v>
      </c>
      <c r="W14" s="26" t="n">
        <f aca="false">(W10*W12+W11*W13)*Assumptions!$F$14/Assumptions!$F$15</f>
        <v>5400</v>
      </c>
      <c r="X14" s="26" t="n">
        <f aca="false">(X10*X12+X11*X13)*Assumptions!$F$14/Assumptions!$F$15</f>
        <v>5400</v>
      </c>
      <c r="Y14" s="26" t="n">
        <f aca="false">(Y10*Y12+Y11*Y13)*Assumptions!$F$14/Assumptions!$F$15</f>
        <v>6800</v>
      </c>
      <c r="Z14" s="26" t="n">
        <f aca="false">(Z10*Z12+Z11*Z13)*Assumptions!$F$14/Assumptions!$F$15</f>
        <v>6800</v>
      </c>
      <c r="AA14" s="26" t="n">
        <f aca="false">(AA10*AA12+AA11*AA13)*Assumptions!$F$14/Assumptions!$F$15</f>
        <v>6800</v>
      </c>
      <c r="AB14" s="26" t="n">
        <f aca="false">(AB10*AB12+AB11*AB13)*Assumptions!$F$14/Assumptions!$F$15</f>
        <v>6800</v>
      </c>
      <c r="AC14" s="26" t="n">
        <f aca="false">(AC10*AC12+AC11*AC13)*Assumptions!$F$14/Assumptions!$F$15</f>
        <v>6800</v>
      </c>
      <c r="AD14" s="26" t="n">
        <f aca="false">(AD10*AD12+AD11*AD13)*Assumptions!$F$14/Assumptions!$F$15</f>
        <v>6800</v>
      </c>
      <c r="AE14" s="26" t="n">
        <f aca="false">(AE10*AE12+AE11*AE13)*Assumptions!$F$14/Assumptions!$F$15</f>
        <v>6800</v>
      </c>
      <c r="AF14" s="26" t="n">
        <f aca="false">(AF10*AF12+AF11*AF13)*Assumptions!$F$14/Assumptions!$F$15</f>
        <v>6800</v>
      </c>
      <c r="AG14" s="26" t="n">
        <f aca="false">(AG10*AG12+AG11*AG13)*Assumptions!$F$14/Assumptions!$F$15</f>
        <v>6800</v>
      </c>
      <c r="AH14" s="26" t="n">
        <f aca="false">(AH10*AH12+AH11*AH13)*Assumptions!$F$14/Assumptions!$F$15</f>
        <v>6800</v>
      </c>
      <c r="AI14" s="26" t="n">
        <f aca="false">(AI10*AI12+AI11*AI13)*Assumptions!$F$14/Assumptions!$F$15</f>
        <v>6800</v>
      </c>
      <c r="AJ14" s="26" t="n">
        <f aca="false">(AJ10*AJ12+AJ11*AJ13)*Assumptions!$F$14/Assumptions!$F$15</f>
        <v>6800</v>
      </c>
      <c r="AK14" s="26" t="n">
        <f aca="false">(AK10*AK12+AK11*AK13)*Assumptions!$F$14/Assumptions!$F$15</f>
        <v>6800</v>
      </c>
      <c r="AL14" s="26" t="n">
        <f aca="false">(AL10*AL12+AL11*AL13)*Assumptions!$F$14/Assumptions!$F$15</f>
        <v>6800</v>
      </c>
      <c r="AM14" s="26" t="n">
        <f aca="false">(AM10*AM12+AM11*AM13)*Assumptions!$F$14/Assumptions!$F$15</f>
        <v>6800</v>
      </c>
      <c r="AN14" s="26" t="n">
        <f aca="false">(AN10*AN12+AN11*AN13)*Assumptions!$F$14/Assumptions!$F$15</f>
        <v>6800</v>
      </c>
      <c r="AO14" s="26" t="n">
        <f aca="false">(AO10*AO12+AO11*AO13)*Assumptions!$F$14/Assumptions!$F$15</f>
        <v>6800</v>
      </c>
      <c r="AP14" s="26" t="n">
        <f aca="false">(AP10*AP12+AP11*AP13)*Assumptions!$F$14/Assumptions!$F$15</f>
        <v>6800</v>
      </c>
      <c r="AQ14" s="26" t="n">
        <f aca="false">(AQ10*AQ12+AQ11*AQ13)*Assumptions!$F$14/Assumptions!$F$15</f>
        <v>6800</v>
      </c>
      <c r="AR14" s="26" t="n">
        <f aca="false">(AR10*AR12+AR11*AR13)*Assumptions!$F$14/Assumptions!$F$15</f>
        <v>6800</v>
      </c>
      <c r="AS14" s="26" t="n">
        <f aca="false">(AS10*AS12+AS11*AS13)*Assumptions!$F$14/Assumptions!$F$15</f>
        <v>6800</v>
      </c>
      <c r="AT14" s="26" t="n">
        <f aca="false">(AT10*AT12+AT11*AT13)*Assumptions!$F$14/Assumptions!$F$15</f>
        <v>6800</v>
      </c>
      <c r="AU14" s="26" t="n">
        <f aca="false">(AU10*AU12+AU11*AU13)*Assumptions!$F$14/Assumptions!$F$15</f>
        <v>6800</v>
      </c>
      <c r="AV14" s="26" t="n">
        <f aca="false">(AV10*AV12+AV11*AV13)*Assumptions!$F$14/Assumptions!$F$15</f>
        <v>6800</v>
      </c>
      <c r="AW14" s="26" t="n">
        <f aca="false">(AW10*AW12+AW11*AW13)*Assumptions!$F$14/Assumptions!$F$15</f>
        <v>6800</v>
      </c>
      <c r="AX14" s="26" t="n">
        <f aca="false">(AX10*AX12+AX11*AX13)*Assumptions!$F$14/Assumptions!$F$15</f>
        <v>6800</v>
      </c>
      <c r="AY14" s="26" t="n">
        <f aca="false">(AY10*AY12+AY11*AY13)*Assumptions!$F$14/Assumptions!$F$15</f>
        <v>6800</v>
      </c>
      <c r="AZ14" s="26" t="n">
        <f aca="false">(AZ10*AZ12+AZ11*AZ13)*Assumptions!$F$14/Assumptions!$F$15</f>
        <v>6800</v>
      </c>
      <c r="BA14" s="26" t="n">
        <f aca="false">(BA10*BA12+BA11*BA13)*Assumptions!$F$14/Assumptions!$F$15</f>
        <v>6800</v>
      </c>
      <c r="BB14" s="26" t="n">
        <f aca="false">(BB10*BB12+BB11*BB13)*Assumptions!$F$14/Assumptions!$F$15</f>
        <v>6800</v>
      </c>
      <c r="BC14" s="26" t="n">
        <f aca="false">(BC10*BC12+BC11*BC13)*Assumptions!$F$14/Assumptions!$F$15</f>
        <v>6800</v>
      </c>
      <c r="BD14" s="26" t="n">
        <f aca="false">(BD10*BD12+BD11*BD13)*Assumptions!$F$14/Assumptions!$F$15</f>
        <v>6800</v>
      </c>
      <c r="BE14" s="26" t="n">
        <f aca="false">(BE10*BE12+BE11*BE13)*Assumptions!$F$14/Assumptions!$F$15</f>
        <v>6800</v>
      </c>
      <c r="BF14" s="26" t="n">
        <f aca="false">(BF10*BF12+BF11*BF13)*Assumptions!$F$14/Assumptions!$F$15</f>
        <v>6800</v>
      </c>
      <c r="BG14" s="26" t="n">
        <f aca="false">(BG10*BG12+BG11*BG13)*Assumptions!$F$14/Assumptions!$F$15</f>
        <v>6800</v>
      </c>
      <c r="BH14" s="26" t="n">
        <f aca="false">(BH10*BH12+BH11*BH13)*Assumptions!$F$14/Assumptions!$F$15</f>
        <v>6800</v>
      </c>
      <c r="BI14" s="26" t="n">
        <f aca="false">(BI10*BI12+BI11*BI13)*Assumptions!$F$14/Assumptions!$F$15</f>
        <v>6800</v>
      </c>
      <c r="BJ14" s="26" t="n">
        <f aca="false">(BJ10*BJ12+BJ11*BJ13)*Assumptions!$F$14/Assumptions!$F$15</f>
        <v>6800</v>
      </c>
    </row>
    <row r="15" customFormat="false" ht="15" hidden="false" customHeight="false" outlineLevel="0" collapsed="false">
      <c r="A15" s="9" t="s">
        <v>190</v>
      </c>
      <c r="B15" s="9"/>
      <c r="C15" s="26" t="n">
        <f aca="false">C14/(1-Assumptions!$F$19)</f>
        <v>0</v>
      </c>
      <c r="D15" s="26" t="n">
        <f aca="false">D14/(1-Assumptions!$F$19)</f>
        <v>0</v>
      </c>
      <c r="E15" s="26" t="n">
        <f aca="false">E14/(1-Assumptions!$F$19)</f>
        <v>0</v>
      </c>
      <c r="F15" s="26" t="n">
        <f aca="false">F14/(1-Assumptions!$F$19)</f>
        <v>0</v>
      </c>
      <c r="G15" s="26" t="n">
        <f aca="false">G14/(1-Assumptions!$F$19)</f>
        <v>2666.66666666667</v>
      </c>
      <c r="H15" s="26" t="n">
        <f aca="false">H14/(1-Assumptions!$F$19)</f>
        <v>2666.66666666667</v>
      </c>
      <c r="I15" s="26" t="n">
        <f aca="false">I14/(1-Assumptions!$F$19)</f>
        <v>2666.66666666667</v>
      </c>
      <c r="J15" s="26" t="n">
        <f aca="false">J14/(1-Assumptions!$F$19)</f>
        <v>2666.66666666667</v>
      </c>
      <c r="K15" s="26" t="n">
        <f aca="false">K14/(1-Assumptions!$F$19)</f>
        <v>2666.66666666667</v>
      </c>
      <c r="L15" s="26" t="n">
        <f aca="false">L14/(1-Assumptions!$F$19)</f>
        <v>2666.66666666667</v>
      </c>
      <c r="M15" s="26" t="n">
        <f aca="false">M14/(1-Assumptions!$F$19)</f>
        <v>4533.33333333333</v>
      </c>
      <c r="N15" s="26" t="n">
        <f aca="false">N14/(1-Assumptions!$F$19)</f>
        <v>4533.33333333333</v>
      </c>
      <c r="O15" s="26" t="n">
        <f aca="false">O14/(1-Assumptions!$F$19)</f>
        <v>4533.33333333333</v>
      </c>
      <c r="P15" s="26" t="n">
        <f aca="false">P14/(1-Assumptions!$F$19)</f>
        <v>4533.33333333333</v>
      </c>
      <c r="Q15" s="26" t="n">
        <f aca="false">Q14/(1-Assumptions!$F$19)</f>
        <v>4533.33333333333</v>
      </c>
      <c r="R15" s="26" t="n">
        <f aca="false">R14/(1-Assumptions!$F$19)</f>
        <v>4533.33333333333</v>
      </c>
      <c r="S15" s="26" t="n">
        <f aca="false">S14/(1-Assumptions!$F$19)</f>
        <v>7200</v>
      </c>
      <c r="T15" s="26" t="n">
        <f aca="false">T14/(1-Assumptions!$F$19)</f>
        <v>7200</v>
      </c>
      <c r="U15" s="26" t="n">
        <f aca="false">U14/(1-Assumptions!$F$19)</f>
        <v>7200</v>
      </c>
      <c r="V15" s="26" t="n">
        <f aca="false">V14/(1-Assumptions!$F$19)</f>
        <v>7200</v>
      </c>
      <c r="W15" s="26" t="n">
        <f aca="false">W14/(1-Assumptions!$F$19)</f>
        <v>7200</v>
      </c>
      <c r="X15" s="26" t="n">
        <f aca="false">X14/(1-Assumptions!$F$19)</f>
        <v>7200</v>
      </c>
      <c r="Y15" s="26" t="n">
        <f aca="false">Y14/(1-Assumptions!$F$19)</f>
        <v>9066.66666666667</v>
      </c>
      <c r="Z15" s="26" t="n">
        <f aca="false">Z14/(1-Assumptions!$F$19)</f>
        <v>9066.66666666667</v>
      </c>
      <c r="AA15" s="26" t="n">
        <f aca="false">AA14/(1-Assumptions!$F$19)</f>
        <v>9066.66666666667</v>
      </c>
      <c r="AB15" s="26" t="n">
        <f aca="false">AB14/(1-Assumptions!$F$19)</f>
        <v>9066.66666666667</v>
      </c>
      <c r="AC15" s="26" t="n">
        <f aca="false">AC14/(1-Assumptions!$F$19)</f>
        <v>9066.66666666667</v>
      </c>
      <c r="AD15" s="26" t="n">
        <f aca="false">AD14/(1-Assumptions!$F$19)</f>
        <v>9066.66666666667</v>
      </c>
      <c r="AE15" s="26" t="n">
        <f aca="false">AE14/(1-Assumptions!$F$19)</f>
        <v>9066.66666666667</v>
      </c>
      <c r="AF15" s="26" t="n">
        <f aca="false">AF14/(1-Assumptions!$F$19)</f>
        <v>9066.66666666667</v>
      </c>
      <c r="AG15" s="26" t="n">
        <f aca="false">AG14/(1-Assumptions!$F$19)</f>
        <v>9066.66666666667</v>
      </c>
      <c r="AH15" s="26" t="n">
        <f aca="false">AH14/(1-Assumptions!$F$19)</f>
        <v>9066.66666666667</v>
      </c>
      <c r="AI15" s="26" t="n">
        <f aca="false">AI14/(1-Assumptions!$F$19)</f>
        <v>9066.66666666667</v>
      </c>
      <c r="AJ15" s="26" t="n">
        <f aca="false">AJ14/(1-Assumptions!$F$19)</f>
        <v>9066.66666666667</v>
      </c>
      <c r="AK15" s="26" t="n">
        <f aca="false">AK14/(1-Assumptions!$F$19)</f>
        <v>9066.66666666667</v>
      </c>
      <c r="AL15" s="26" t="n">
        <f aca="false">AL14/(1-Assumptions!$F$19)</f>
        <v>9066.66666666667</v>
      </c>
      <c r="AM15" s="26" t="n">
        <f aca="false">AM14/(1-Assumptions!$F$19)</f>
        <v>9066.66666666667</v>
      </c>
      <c r="AN15" s="26" t="n">
        <f aca="false">AN14/(1-Assumptions!$F$19)</f>
        <v>9066.66666666667</v>
      </c>
      <c r="AO15" s="26" t="n">
        <f aca="false">AO14/(1-Assumptions!$F$19)</f>
        <v>9066.66666666667</v>
      </c>
      <c r="AP15" s="26" t="n">
        <f aca="false">AP14/(1-Assumptions!$F$19)</f>
        <v>9066.66666666667</v>
      </c>
      <c r="AQ15" s="26" t="n">
        <f aca="false">AQ14/(1-Assumptions!$F$19)</f>
        <v>9066.66666666667</v>
      </c>
      <c r="AR15" s="26" t="n">
        <f aca="false">AR14/(1-Assumptions!$F$19)</f>
        <v>9066.66666666667</v>
      </c>
      <c r="AS15" s="26" t="n">
        <f aca="false">AS14/(1-Assumptions!$F$19)</f>
        <v>9066.66666666667</v>
      </c>
      <c r="AT15" s="26" t="n">
        <f aca="false">AT14/(1-Assumptions!$F$19)</f>
        <v>9066.66666666667</v>
      </c>
      <c r="AU15" s="26" t="n">
        <f aca="false">AU14/(1-Assumptions!$F$19)</f>
        <v>9066.66666666667</v>
      </c>
      <c r="AV15" s="26" t="n">
        <f aca="false">AV14/(1-Assumptions!$F$19)</f>
        <v>9066.66666666667</v>
      </c>
      <c r="AW15" s="26" t="n">
        <f aca="false">AW14/(1-Assumptions!$F$19)</f>
        <v>9066.66666666667</v>
      </c>
      <c r="AX15" s="26" t="n">
        <f aca="false">AX14/(1-Assumptions!$F$19)</f>
        <v>9066.66666666667</v>
      </c>
      <c r="AY15" s="26" t="n">
        <f aca="false">AY14/(1-Assumptions!$F$19)</f>
        <v>9066.66666666667</v>
      </c>
      <c r="AZ15" s="26" t="n">
        <f aca="false">AZ14/(1-Assumptions!$F$19)</f>
        <v>9066.66666666667</v>
      </c>
      <c r="BA15" s="26" t="n">
        <f aca="false">BA14/(1-Assumptions!$F$19)</f>
        <v>9066.66666666667</v>
      </c>
      <c r="BB15" s="26" t="n">
        <f aca="false">BB14/(1-Assumptions!$F$19)</f>
        <v>9066.66666666667</v>
      </c>
      <c r="BC15" s="26" t="n">
        <f aca="false">BC14/(1-Assumptions!$F$19)</f>
        <v>9066.66666666667</v>
      </c>
      <c r="BD15" s="26" t="n">
        <f aca="false">BD14/(1-Assumptions!$F$19)</f>
        <v>9066.66666666667</v>
      </c>
      <c r="BE15" s="26" t="n">
        <f aca="false">BE14/(1-Assumptions!$F$19)</f>
        <v>9066.66666666667</v>
      </c>
      <c r="BF15" s="26" t="n">
        <f aca="false">BF14/(1-Assumptions!$F$19)</f>
        <v>9066.66666666667</v>
      </c>
      <c r="BG15" s="26" t="n">
        <f aca="false">BG14/(1-Assumptions!$F$19)</f>
        <v>9066.66666666667</v>
      </c>
      <c r="BH15" s="26" t="n">
        <f aca="false">BH14/(1-Assumptions!$F$19)</f>
        <v>9066.66666666667</v>
      </c>
      <c r="BI15" s="26" t="n">
        <f aca="false">BI14/(1-Assumptions!$F$19)</f>
        <v>9066.66666666667</v>
      </c>
      <c r="BJ15" s="26" t="n">
        <f aca="false">BJ14/(1-Assumptions!$F$19)</f>
        <v>9066.66666666667</v>
      </c>
    </row>
    <row r="16" customFormat="false" ht="15" hidden="false" customHeight="false" outlineLevel="0" collapsed="false">
      <c r="A16" s="9" t="s">
        <v>191</v>
      </c>
      <c r="B16" s="9"/>
      <c r="C16" s="26" t="n">
        <f aca="false">MIN(C15,IF(C$3&gt;=Assumptions!$F$29,Assumptions!$F$28*1000/12,0))</f>
        <v>0</v>
      </c>
      <c r="D16" s="26" t="n">
        <f aca="false">MIN(D15,IF(D$3&gt;=Assumptions!$F$29,Assumptions!$F$28*1000/12,0))</f>
        <v>0</v>
      </c>
      <c r="E16" s="26" t="n">
        <f aca="false">MIN(E15,IF(E$3&gt;=Assumptions!$F$29,Assumptions!$F$28*1000/12,0))</f>
        <v>0</v>
      </c>
      <c r="F16" s="26" t="n">
        <f aca="false">MIN(F15,IF(F$3&gt;=Assumptions!$F$29,Assumptions!$F$28*1000/12,0))</f>
        <v>0</v>
      </c>
      <c r="G16" s="26" t="n">
        <f aca="false">MIN(G15,IF(G$3&gt;=Assumptions!$F$29,Assumptions!$F$28*1000/12,0))</f>
        <v>0</v>
      </c>
      <c r="H16" s="26" t="n">
        <f aca="false">MIN(H15,IF(H$3&gt;=Assumptions!$F$29,Assumptions!$F$28*1000/12,0))</f>
        <v>0</v>
      </c>
      <c r="I16" s="26" t="n">
        <f aca="false">MIN(I15,IF(I$3&gt;=Assumptions!$F$29,Assumptions!$F$28*1000/12,0))</f>
        <v>666.666666666667</v>
      </c>
      <c r="J16" s="26" t="n">
        <f aca="false">MIN(J15,IF(J$3&gt;=Assumptions!$F$29,Assumptions!$F$28*1000/12,0))</f>
        <v>666.666666666667</v>
      </c>
      <c r="K16" s="26" t="n">
        <f aca="false">MIN(K15,IF(K$3&gt;=Assumptions!$F$29,Assumptions!$F$28*1000/12,0))</f>
        <v>666.666666666667</v>
      </c>
      <c r="L16" s="26" t="n">
        <f aca="false">MIN(L15,IF(L$3&gt;=Assumptions!$F$29,Assumptions!$F$28*1000/12,0))</f>
        <v>666.666666666667</v>
      </c>
      <c r="M16" s="26" t="n">
        <f aca="false">MIN(M15,IF(M$3&gt;=Assumptions!$F$29,Assumptions!$F$28*1000/12,0))</f>
        <v>666.666666666667</v>
      </c>
      <c r="N16" s="26" t="n">
        <f aca="false">MIN(N15,IF(N$3&gt;=Assumptions!$F$29,Assumptions!$F$28*1000/12,0))</f>
        <v>666.666666666667</v>
      </c>
      <c r="O16" s="26" t="n">
        <f aca="false">MIN(O15,IF(O$3&gt;=Assumptions!$F$29,Assumptions!$F$28*1000/12,0))</f>
        <v>666.666666666667</v>
      </c>
      <c r="P16" s="26" t="n">
        <f aca="false">MIN(P15,IF(P$3&gt;=Assumptions!$F$29,Assumptions!$F$28*1000/12,0))</f>
        <v>666.666666666667</v>
      </c>
      <c r="Q16" s="26" t="n">
        <f aca="false">MIN(Q15,IF(Q$3&gt;=Assumptions!$F$29,Assumptions!$F$28*1000/12,0))</f>
        <v>666.666666666667</v>
      </c>
      <c r="R16" s="26" t="n">
        <f aca="false">MIN(R15,IF(R$3&gt;=Assumptions!$F$29,Assumptions!$F$28*1000/12,0))</f>
        <v>666.666666666667</v>
      </c>
      <c r="S16" s="26" t="n">
        <f aca="false">MIN(S15,IF(S$3&gt;=Assumptions!$F$29,Assumptions!$F$28*1000/12,0))</f>
        <v>666.666666666667</v>
      </c>
      <c r="T16" s="26" t="n">
        <f aca="false">MIN(T15,IF(T$3&gt;=Assumptions!$F$29,Assumptions!$F$28*1000/12,0))</f>
        <v>666.666666666667</v>
      </c>
      <c r="U16" s="26" t="n">
        <f aca="false">MIN(U15,IF(U$3&gt;=Assumptions!$F$29,Assumptions!$F$28*1000/12,0))</f>
        <v>666.666666666667</v>
      </c>
      <c r="V16" s="26" t="n">
        <f aca="false">MIN(V15,IF(V$3&gt;=Assumptions!$F$29,Assumptions!$F$28*1000/12,0))</f>
        <v>666.666666666667</v>
      </c>
      <c r="W16" s="26" t="n">
        <f aca="false">MIN(W15,IF(W$3&gt;=Assumptions!$F$29,Assumptions!$F$28*1000/12,0))</f>
        <v>666.666666666667</v>
      </c>
      <c r="X16" s="26" t="n">
        <f aca="false">MIN(X15,IF(X$3&gt;=Assumptions!$F$29,Assumptions!$F$28*1000/12,0))</f>
        <v>666.666666666667</v>
      </c>
      <c r="Y16" s="26" t="n">
        <f aca="false">MIN(Y15,IF(Y$3&gt;=Assumptions!$F$29,Assumptions!$F$28*1000/12,0))</f>
        <v>666.666666666667</v>
      </c>
      <c r="Z16" s="26" t="n">
        <f aca="false">MIN(Z15,IF(Z$3&gt;=Assumptions!$F$29,Assumptions!$F$28*1000/12,0))</f>
        <v>666.666666666667</v>
      </c>
      <c r="AA16" s="26" t="n">
        <f aca="false">MIN(AA15,IF(AA$3&gt;=Assumptions!$F$29,Assumptions!$F$28*1000/12,0))</f>
        <v>666.666666666667</v>
      </c>
      <c r="AB16" s="26" t="n">
        <f aca="false">MIN(AB15,IF(AB$3&gt;=Assumptions!$F$29,Assumptions!$F$28*1000/12,0))</f>
        <v>666.666666666667</v>
      </c>
      <c r="AC16" s="26" t="n">
        <f aca="false">MIN(AC15,IF(AC$3&gt;=Assumptions!$F$29,Assumptions!$F$28*1000/12,0))</f>
        <v>666.666666666667</v>
      </c>
      <c r="AD16" s="26" t="n">
        <f aca="false">MIN(AD15,IF(AD$3&gt;=Assumptions!$F$29,Assumptions!$F$28*1000/12,0))</f>
        <v>666.666666666667</v>
      </c>
      <c r="AE16" s="26" t="n">
        <f aca="false">MIN(AE15,IF(AE$3&gt;=Assumptions!$F$29,Assumptions!$F$28*1000/12,0))</f>
        <v>666.666666666667</v>
      </c>
      <c r="AF16" s="26" t="n">
        <f aca="false">MIN(AF15,IF(AF$3&gt;=Assumptions!$F$29,Assumptions!$F$28*1000/12,0))</f>
        <v>666.666666666667</v>
      </c>
      <c r="AG16" s="26" t="n">
        <f aca="false">MIN(AG15,IF(AG$3&gt;=Assumptions!$F$29,Assumptions!$F$28*1000/12,0))</f>
        <v>666.666666666667</v>
      </c>
      <c r="AH16" s="26" t="n">
        <f aca="false">MIN(AH15,IF(AH$3&gt;=Assumptions!$F$29,Assumptions!$F$28*1000/12,0))</f>
        <v>666.666666666667</v>
      </c>
      <c r="AI16" s="26" t="n">
        <f aca="false">MIN(AI15,IF(AI$3&gt;=Assumptions!$F$29,Assumptions!$F$28*1000/12,0))</f>
        <v>666.666666666667</v>
      </c>
      <c r="AJ16" s="26" t="n">
        <f aca="false">MIN(AJ15,IF(AJ$3&gt;=Assumptions!$F$29,Assumptions!$F$28*1000/12,0))</f>
        <v>666.666666666667</v>
      </c>
      <c r="AK16" s="26" t="n">
        <f aca="false">MIN(AK15,IF(AK$3&gt;=Assumptions!$F$29,Assumptions!$F$28*1000/12,0))</f>
        <v>666.666666666667</v>
      </c>
      <c r="AL16" s="26" t="n">
        <f aca="false">MIN(AL15,IF(AL$3&gt;=Assumptions!$F$29,Assumptions!$F$28*1000/12,0))</f>
        <v>666.666666666667</v>
      </c>
      <c r="AM16" s="26" t="n">
        <f aca="false">MIN(AM15,IF(AM$3&gt;=Assumptions!$F$29,Assumptions!$F$28*1000/12,0))</f>
        <v>666.666666666667</v>
      </c>
      <c r="AN16" s="26" t="n">
        <f aca="false">MIN(AN15,IF(AN$3&gt;=Assumptions!$F$29,Assumptions!$F$28*1000/12,0))</f>
        <v>666.666666666667</v>
      </c>
      <c r="AO16" s="26" t="n">
        <f aca="false">MIN(AO15,IF(AO$3&gt;=Assumptions!$F$29,Assumptions!$F$28*1000/12,0))</f>
        <v>666.666666666667</v>
      </c>
      <c r="AP16" s="26" t="n">
        <f aca="false">MIN(AP15,IF(AP$3&gt;=Assumptions!$F$29,Assumptions!$F$28*1000/12,0))</f>
        <v>666.666666666667</v>
      </c>
      <c r="AQ16" s="26" t="n">
        <f aca="false">MIN(AQ15,IF(AQ$3&gt;=Assumptions!$F$29,Assumptions!$F$28*1000/12,0))</f>
        <v>666.666666666667</v>
      </c>
      <c r="AR16" s="26" t="n">
        <f aca="false">MIN(AR15,IF(AR$3&gt;=Assumptions!$F$29,Assumptions!$F$28*1000/12,0))</f>
        <v>666.666666666667</v>
      </c>
      <c r="AS16" s="26" t="n">
        <f aca="false">MIN(AS15,IF(AS$3&gt;=Assumptions!$F$29,Assumptions!$F$28*1000/12,0))</f>
        <v>666.666666666667</v>
      </c>
      <c r="AT16" s="26" t="n">
        <f aca="false">MIN(AT15,IF(AT$3&gt;=Assumptions!$F$29,Assumptions!$F$28*1000/12,0))</f>
        <v>666.666666666667</v>
      </c>
      <c r="AU16" s="26" t="n">
        <f aca="false">MIN(AU15,IF(AU$3&gt;=Assumptions!$F$29,Assumptions!$F$28*1000/12,0))</f>
        <v>666.666666666667</v>
      </c>
      <c r="AV16" s="26" t="n">
        <f aca="false">MIN(AV15,IF(AV$3&gt;=Assumptions!$F$29,Assumptions!$F$28*1000/12,0))</f>
        <v>666.666666666667</v>
      </c>
      <c r="AW16" s="26" t="n">
        <f aca="false">MIN(AW15,IF(AW$3&gt;=Assumptions!$F$29,Assumptions!$F$28*1000/12,0))</f>
        <v>666.666666666667</v>
      </c>
      <c r="AX16" s="26" t="n">
        <f aca="false">MIN(AX15,IF(AX$3&gt;=Assumptions!$F$29,Assumptions!$F$28*1000/12,0))</f>
        <v>666.666666666667</v>
      </c>
      <c r="AY16" s="26" t="n">
        <f aca="false">MIN(AY15,IF(AY$3&gt;=Assumptions!$F$29,Assumptions!$F$28*1000/12,0))</f>
        <v>666.666666666667</v>
      </c>
      <c r="AZ16" s="26" t="n">
        <f aca="false">MIN(AZ15,IF(AZ$3&gt;=Assumptions!$F$29,Assumptions!$F$28*1000/12,0))</f>
        <v>666.666666666667</v>
      </c>
      <c r="BA16" s="26" t="n">
        <f aca="false">MIN(BA15,IF(BA$3&gt;=Assumptions!$F$29,Assumptions!$F$28*1000/12,0))</f>
        <v>666.666666666667</v>
      </c>
      <c r="BB16" s="26" t="n">
        <f aca="false">MIN(BB15,IF(BB$3&gt;=Assumptions!$F$29,Assumptions!$F$28*1000/12,0))</f>
        <v>666.666666666667</v>
      </c>
      <c r="BC16" s="26" t="n">
        <f aca="false">MIN(BC15,IF(BC$3&gt;=Assumptions!$F$29,Assumptions!$F$28*1000/12,0))</f>
        <v>666.666666666667</v>
      </c>
      <c r="BD16" s="26" t="n">
        <f aca="false">MIN(BD15,IF(BD$3&gt;=Assumptions!$F$29,Assumptions!$F$28*1000/12,0))</f>
        <v>666.666666666667</v>
      </c>
      <c r="BE16" s="26" t="n">
        <f aca="false">MIN(BE15,IF(BE$3&gt;=Assumptions!$F$29,Assumptions!$F$28*1000/12,0))</f>
        <v>666.666666666667</v>
      </c>
      <c r="BF16" s="26" t="n">
        <f aca="false">MIN(BF15,IF(BF$3&gt;=Assumptions!$F$29,Assumptions!$F$28*1000/12,0))</f>
        <v>666.666666666667</v>
      </c>
      <c r="BG16" s="26" t="n">
        <f aca="false">MIN(BG15,IF(BG$3&gt;=Assumptions!$F$29,Assumptions!$F$28*1000/12,0))</f>
        <v>666.666666666667</v>
      </c>
      <c r="BH16" s="26" t="n">
        <f aca="false">MIN(BH15,IF(BH$3&gt;=Assumptions!$F$29,Assumptions!$F$28*1000/12,0))</f>
        <v>666.666666666667</v>
      </c>
      <c r="BI16" s="26" t="n">
        <f aca="false">MIN(BI15,IF(BI$3&gt;=Assumptions!$F$29,Assumptions!$F$28*1000/12,0))</f>
        <v>666.666666666667</v>
      </c>
      <c r="BJ16" s="26" t="n">
        <f aca="false">MIN(BJ15,IF(BJ$3&gt;=Assumptions!$F$29,Assumptions!$F$28*1000/12,0))</f>
        <v>666.666666666667</v>
      </c>
    </row>
    <row r="17" customFormat="false" ht="15" hidden="false" customHeight="false" outlineLevel="0" collapsed="false">
      <c r="A17" s="9" t="s">
        <v>192</v>
      </c>
      <c r="B17" s="9"/>
      <c r="C17" s="26" t="n">
        <f aca="false">C15-C16</f>
        <v>0</v>
      </c>
      <c r="D17" s="26" t="n">
        <f aca="false">D15-D16</f>
        <v>0</v>
      </c>
      <c r="E17" s="26" t="n">
        <f aca="false">E15-E16</f>
        <v>0</v>
      </c>
      <c r="F17" s="26" t="n">
        <f aca="false">F15-F16</f>
        <v>0</v>
      </c>
      <c r="G17" s="26" t="n">
        <f aca="false">G15-G16</f>
        <v>2666.66666666667</v>
      </c>
      <c r="H17" s="26" t="n">
        <f aca="false">H15-H16</f>
        <v>2666.66666666667</v>
      </c>
      <c r="I17" s="26" t="n">
        <f aca="false">I15-I16</f>
        <v>2000</v>
      </c>
      <c r="J17" s="26" t="n">
        <f aca="false">J15-J16</f>
        <v>2000</v>
      </c>
      <c r="K17" s="26" t="n">
        <f aca="false">K15-K16</f>
        <v>2000</v>
      </c>
      <c r="L17" s="26" t="n">
        <f aca="false">L15-L16</f>
        <v>2000</v>
      </c>
      <c r="M17" s="26" t="n">
        <f aca="false">M15-M16</f>
        <v>3866.66666666667</v>
      </c>
      <c r="N17" s="26" t="n">
        <f aca="false">N15-N16</f>
        <v>3866.66666666667</v>
      </c>
      <c r="O17" s="26" t="n">
        <f aca="false">O15-O16</f>
        <v>3866.66666666667</v>
      </c>
      <c r="P17" s="26" t="n">
        <f aca="false">P15-P16</f>
        <v>3866.66666666667</v>
      </c>
      <c r="Q17" s="26" t="n">
        <f aca="false">Q15-Q16</f>
        <v>3866.66666666667</v>
      </c>
      <c r="R17" s="26" t="n">
        <f aca="false">R15-R16</f>
        <v>3866.66666666667</v>
      </c>
      <c r="S17" s="26" t="n">
        <f aca="false">S15-S16</f>
        <v>6533.33333333333</v>
      </c>
      <c r="T17" s="26" t="n">
        <f aca="false">T15-T16</f>
        <v>6533.33333333333</v>
      </c>
      <c r="U17" s="26" t="n">
        <f aca="false">U15-U16</f>
        <v>6533.33333333333</v>
      </c>
      <c r="V17" s="26" t="n">
        <f aca="false">V15-V16</f>
        <v>6533.33333333333</v>
      </c>
      <c r="W17" s="26" t="n">
        <f aca="false">W15-W16</f>
        <v>6533.33333333333</v>
      </c>
      <c r="X17" s="26" t="n">
        <f aca="false">X15-X16</f>
        <v>6533.33333333333</v>
      </c>
      <c r="Y17" s="26" t="n">
        <f aca="false">Y15-Y16</f>
        <v>8400</v>
      </c>
      <c r="Z17" s="26" t="n">
        <f aca="false">Z15-Z16</f>
        <v>8400</v>
      </c>
      <c r="AA17" s="26" t="n">
        <f aca="false">AA15-AA16</f>
        <v>8400</v>
      </c>
      <c r="AB17" s="26" t="n">
        <f aca="false">AB15-AB16</f>
        <v>8400</v>
      </c>
      <c r="AC17" s="26" t="n">
        <f aca="false">AC15-AC16</f>
        <v>8400</v>
      </c>
      <c r="AD17" s="26" t="n">
        <f aca="false">AD15-AD16</f>
        <v>8400</v>
      </c>
      <c r="AE17" s="26" t="n">
        <f aca="false">AE15-AE16</f>
        <v>8400</v>
      </c>
      <c r="AF17" s="26" t="n">
        <f aca="false">AF15-AF16</f>
        <v>8400</v>
      </c>
      <c r="AG17" s="26" t="n">
        <f aca="false">AG15-AG16</f>
        <v>8400</v>
      </c>
      <c r="AH17" s="26" t="n">
        <f aca="false">AH15-AH16</f>
        <v>8400</v>
      </c>
      <c r="AI17" s="26" t="n">
        <f aca="false">AI15-AI16</f>
        <v>8400</v>
      </c>
      <c r="AJ17" s="26" t="n">
        <f aca="false">AJ15-AJ16</f>
        <v>8400</v>
      </c>
      <c r="AK17" s="26" t="n">
        <f aca="false">AK15-AK16</f>
        <v>8400</v>
      </c>
      <c r="AL17" s="26" t="n">
        <f aca="false">AL15-AL16</f>
        <v>8400</v>
      </c>
      <c r="AM17" s="26" t="n">
        <f aca="false">AM15-AM16</f>
        <v>8400</v>
      </c>
      <c r="AN17" s="26" t="n">
        <f aca="false">AN15-AN16</f>
        <v>8400</v>
      </c>
      <c r="AO17" s="26" t="n">
        <f aca="false">AO15-AO16</f>
        <v>8400</v>
      </c>
      <c r="AP17" s="26" t="n">
        <f aca="false">AP15-AP16</f>
        <v>8400</v>
      </c>
      <c r="AQ17" s="26" t="n">
        <f aca="false">AQ15-AQ16</f>
        <v>8400</v>
      </c>
      <c r="AR17" s="26" t="n">
        <f aca="false">AR15-AR16</f>
        <v>8400</v>
      </c>
      <c r="AS17" s="26" t="n">
        <f aca="false">AS15-AS16</f>
        <v>8400</v>
      </c>
      <c r="AT17" s="26" t="n">
        <f aca="false">AT15-AT16</f>
        <v>8400</v>
      </c>
      <c r="AU17" s="26" t="n">
        <f aca="false">AU15-AU16</f>
        <v>8400</v>
      </c>
      <c r="AV17" s="26" t="n">
        <f aca="false">AV15-AV16</f>
        <v>8400</v>
      </c>
      <c r="AW17" s="26" t="n">
        <f aca="false">AW15-AW16</f>
        <v>8400</v>
      </c>
      <c r="AX17" s="26" t="n">
        <f aca="false">AX15-AX16</f>
        <v>8400</v>
      </c>
      <c r="AY17" s="26" t="n">
        <f aca="false">AY15-AY16</f>
        <v>8400</v>
      </c>
      <c r="AZ17" s="26" t="n">
        <f aca="false">AZ15-AZ16</f>
        <v>8400</v>
      </c>
      <c r="BA17" s="26" t="n">
        <f aca="false">BA15-BA16</f>
        <v>8400</v>
      </c>
      <c r="BB17" s="26" t="n">
        <f aca="false">BB15-BB16</f>
        <v>8400</v>
      </c>
      <c r="BC17" s="26" t="n">
        <f aca="false">BC15-BC16</f>
        <v>8400</v>
      </c>
      <c r="BD17" s="26" t="n">
        <f aca="false">BD15-BD16</f>
        <v>8400</v>
      </c>
      <c r="BE17" s="26" t="n">
        <f aca="false">BE15-BE16</f>
        <v>8400</v>
      </c>
      <c r="BF17" s="26" t="n">
        <f aca="false">BF15-BF16</f>
        <v>8400</v>
      </c>
      <c r="BG17" s="26" t="n">
        <f aca="false">BG15-BG16</f>
        <v>8400</v>
      </c>
      <c r="BH17" s="26" t="n">
        <f aca="false">BH15-BH16</f>
        <v>8400</v>
      </c>
      <c r="BI17" s="26" t="n">
        <f aca="false">BI15-BI16</f>
        <v>8400</v>
      </c>
      <c r="BJ17" s="26" t="n">
        <f aca="false">BJ15-BJ16</f>
        <v>8400</v>
      </c>
    </row>
    <row r="18" customFormat="false" ht="15" hidden="false" customHeight="false" outlineLevel="0" collapsed="false">
      <c r="A18" s="9" t="s">
        <v>193</v>
      </c>
      <c r="B18" s="9"/>
      <c r="C18" s="26" t="n">
        <f aca="false">IF(C$3&gt;Assumptions!$F$15,INDEX($C$14:$BJ$14,1,C$3-Assumptions!$F$15),0)*Assumptions!$F$25</f>
        <v>0</v>
      </c>
      <c r="D18" s="26" t="n">
        <f aca="false">IF(D$3&gt;Assumptions!$F$15,INDEX($C$14:$BJ$14,1,D$3-Assumptions!$F$15),0)*Assumptions!$F$25</f>
        <v>0</v>
      </c>
      <c r="E18" s="26" t="n">
        <f aca="false">IF(E$3&gt;Assumptions!$F$15,INDEX($C$14:$BJ$14,1,E$3-Assumptions!$F$15),0)*Assumptions!$F$25</f>
        <v>0</v>
      </c>
      <c r="F18" s="26" t="n">
        <f aca="false">IF(F$3&gt;Assumptions!$F$15,INDEX($C$14:$BJ$14,1,F$3-Assumptions!$F$15),0)*Assumptions!$F$25</f>
        <v>0</v>
      </c>
      <c r="G18" s="26" t="n">
        <f aca="false">IF(G$3&gt;Assumptions!$F$15,INDEX($C$14:$BJ$14,1,G$3-Assumptions!$F$15),0)*Assumptions!$F$25</f>
        <v>0</v>
      </c>
      <c r="H18" s="26" t="n">
        <f aca="false">IF(H$3&gt;Assumptions!$F$15,INDEX($C$14:$BJ$14,1,H$3-Assumptions!$F$15),0)*Assumptions!$F$25</f>
        <v>0</v>
      </c>
      <c r="I18" s="26" t="n">
        <f aca="false">IF(I$3&gt;Assumptions!$F$15,INDEX($C$14:$BJ$14,1,I$3-Assumptions!$F$15),0)*Assumptions!$F$25</f>
        <v>0</v>
      </c>
      <c r="J18" s="26" t="n">
        <f aca="false">IF(J$3&gt;Assumptions!$F$15,INDEX($C$14:$BJ$14,1,J$3-Assumptions!$F$15),0)*Assumptions!$F$25</f>
        <v>650</v>
      </c>
      <c r="K18" s="26" t="n">
        <f aca="false">IF(K$3&gt;Assumptions!$F$15,INDEX($C$14:$BJ$14,1,K$3-Assumptions!$F$15),0)*Assumptions!$F$25</f>
        <v>650</v>
      </c>
      <c r="L18" s="26" t="n">
        <f aca="false">IF(L$3&gt;Assumptions!$F$15,INDEX($C$14:$BJ$14,1,L$3-Assumptions!$F$15),0)*Assumptions!$F$25</f>
        <v>650</v>
      </c>
      <c r="M18" s="26" t="n">
        <f aca="false">IF(M$3&gt;Assumptions!$F$15,INDEX($C$14:$BJ$14,1,M$3-Assumptions!$F$15),0)*Assumptions!$F$25</f>
        <v>650</v>
      </c>
      <c r="N18" s="26" t="n">
        <f aca="false">IF(N$3&gt;Assumptions!$F$15,INDEX($C$14:$BJ$14,1,N$3-Assumptions!$F$15),0)*Assumptions!$F$25</f>
        <v>650</v>
      </c>
      <c r="O18" s="26" t="n">
        <f aca="false">IF(O$3&gt;Assumptions!$F$15,INDEX($C$14:$BJ$14,1,O$3-Assumptions!$F$15),0)*Assumptions!$F$25</f>
        <v>650</v>
      </c>
      <c r="P18" s="26" t="n">
        <f aca="false">IF(P$3&gt;Assumptions!$F$15,INDEX($C$14:$BJ$14,1,P$3-Assumptions!$F$15),0)*Assumptions!$F$25</f>
        <v>1105</v>
      </c>
      <c r="Q18" s="26" t="n">
        <f aca="false">IF(Q$3&gt;Assumptions!$F$15,INDEX($C$14:$BJ$14,1,Q$3-Assumptions!$F$15),0)*Assumptions!$F$25</f>
        <v>1105</v>
      </c>
      <c r="R18" s="26" t="n">
        <f aca="false">IF(R$3&gt;Assumptions!$F$15,INDEX($C$14:$BJ$14,1,R$3-Assumptions!$F$15),0)*Assumptions!$F$25</f>
        <v>1105</v>
      </c>
      <c r="S18" s="26" t="n">
        <f aca="false">IF(S$3&gt;Assumptions!$F$15,INDEX($C$14:$BJ$14,1,S$3-Assumptions!$F$15),0)*Assumptions!$F$25</f>
        <v>1105</v>
      </c>
      <c r="T18" s="26" t="n">
        <f aca="false">IF(T$3&gt;Assumptions!$F$15,INDEX($C$14:$BJ$14,1,T$3-Assumptions!$F$15),0)*Assumptions!$F$25</f>
        <v>1105</v>
      </c>
      <c r="U18" s="26" t="n">
        <f aca="false">IF(U$3&gt;Assumptions!$F$15,INDEX($C$14:$BJ$14,1,U$3-Assumptions!$F$15),0)*Assumptions!$F$25</f>
        <v>1105</v>
      </c>
      <c r="V18" s="26" t="n">
        <f aca="false">IF(V$3&gt;Assumptions!$F$15,INDEX($C$14:$BJ$14,1,V$3-Assumptions!$F$15),0)*Assumptions!$F$25</f>
        <v>1755</v>
      </c>
      <c r="W18" s="26" t="n">
        <f aca="false">IF(W$3&gt;Assumptions!$F$15,INDEX($C$14:$BJ$14,1,W$3-Assumptions!$F$15),0)*Assumptions!$F$25</f>
        <v>1755</v>
      </c>
      <c r="X18" s="26" t="n">
        <f aca="false">IF(X$3&gt;Assumptions!$F$15,INDEX($C$14:$BJ$14,1,X$3-Assumptions!$F$15),0)*Assumptions!$F$25</f>
        <v>1755</v>
      </c>
      <c r="Y18" s="26" t="n">
        <f aca="false">IF(Y$3&gt;Assumptions!$F$15,INDEX($C$14:$BJ$14,1,Y$3-Assumptions!$F$15),0)*Assumptions!$F$25</f>
        <v>1755</v>
      </c>
      <c r="Z18" s="26" t="n">
        <f aca="false">IF(Z$3&gt;Assumptions!$F$15,INDEX($C$14:$BJ$14,1,Z$3-Assumptions!$F$15),0)*Assumptions!$F$25</f>
        <v>1755</v>
      </c>
      <c r="AA18" s="26" t="n">
        <f aca="false">IF(AA$3&gt;Assumptions!$F$15,INDEX($C$14:$BJ$14,1,AA$3-Assumptions!$F$15),0)*Assumptions!$F$25</f>
        <v>1755</v>
      </c>
      <c r="AB18" s="26" t="n">
        <f aca="false">IF(AB$3&gt;Assumptions!$F$15,INDEX($C$14:$BJ$14,1,AB$3-Assumptions!$F$15),0)*Assumptions!$F$25</f>
        <v>2210</v>
      </c>
      <c r="AC18" s="26" t="n">
        <f aca="false">IF(AC$3&gt;Assumptions!$F$15,INDEX($C$14:$BJ$14,1,AC$3-Assumptions!$F$15),0)*Assumptions!$F$25</f>
        <v>2210</v>
      </c>
      <c r="AD18" s="26" t="n">
        <f aca="false">IF(AD$3&gt;Assumptions!$F$15,INDEX($C$14:$BJ$14,1,AD$3-Assumptions!$F$15),0)*Assumptions!$F$25</f>
        <v>2210</v>
      </c>
      <c r="AE18" s="26" t="n">
        <f aca="false">IF(AE$3&gt;Assumptions!$F$15,INDEX($C$14:$BJ$14,1,AE$3-Assumptions!$F$15),0)*Assumptions!$F$25</f>
        <v>2210</v>
      </c>
      <c r="AF18" s="26" t="n">
        <f aca="false">IF(AF$3&gt;Assumptions!$F$15,INDEX($C$14:$BJ$14,1,AF$3-Assumptions!$F$15),0)*Assumptions!$F$25</f>
        <v>2210</v>
      </c>
      <c r="AG18" s="26" t="n">
        <f aca="false">IF(AG$3&gt;Assumptions!$F$15,INDEX($C$14:$BJ$14,1,AG$3-Assumptions!$F$15),0)*Assumptions!$F$25</f>
        <v>2210</v>
      </c>
      <c r="AH18" s="26" t="n">
        <f aca="false">IF(AH$3&gt;Assumptions!$F$15,INDEX($C$14:$BJ$14,1,AH$3-Assumptions!$F$15),0)*Assumptions!$F$25</f>
        <v>2210</v>
      </c>
      <c r="AI18" s="26" t="n">
        <f aca="false">IF(AI$3&gt;Assumptions!$F$15,INDEX($C$14:$BJ$14,1,AI$3-Assumptions!$F$15),0)*Assumptions!$F$25</f>
        <v>2210</v>
      </c>
      <c r="AJ18" s="26" t="n">
        <f aca="false">IF(AJ$3&gt;Assumptions!$F$15,INDEX($C$14:$BJ$14,1,AJ$3-Assumptions!$F$15),0)*Assumptions!$F$25</f>
        <v>2210</v>
      </c>
      <c r="AK18" s="26" t="n">
        <f aca="false">IF(AK$3&gt;Assumptions!$F$15,INDEX($C$14:$BJ$14,1,AK$3-Assumptions!$F$15),0)*Assumptions!$F$25</f>
        <v>2210</v>
      </c>
      <c r="AL18" s="26" t="n">
        <f aca="false">IF(AL$3&gt;Assumptions!$F$15,INDEX($C$14:$BJ$14,1,AL$3-Assumptions!$F$15),0)*Assumptions!$F$25</f>
        <v>2210</v>
      </c>
      <c r="AM18" s="26" t="n">
        <f aca="false">IF(AM$3&gt;Assumptions!$F$15,INDEX($C$14:$BJ$14,1,AM$3-Assumptions!$F$15),0)*Assumptions!$F$25</f>
        <v>2210</v>
      </c>
      <c r="AN18" s="26" t="n">
        <f aca="false">IF(AN$3&gt;Assumptions!$F$15,INDEX($C$14:$BJ$14,1,AN$3-Assumptions!$F$15),0)*Assumptions!$F$25</f>
        <v>2210</v>
      </c>
      <c r="AO18" s="26" t="n">
        <f aca="false">IF(AO$3&gt;Assumptions!$F$15,INDEX($C$14:$BJ$14,1,AO$3-Assumptions!$F$15),0)*Assumptions!$F$25</f>
        <v>2210</v>
      </c>
      <c r="AP18" s="26" t="n">
        <f aca="false">IF(AP$3&gt;Assumptions!$F$15,INDEX($C$14:$BJ$14,1,AP$3-Assumptions!$F$15),0)*Assumptions!$F$25</f>
        <v>2210</v>
      </c>
      <c r="AQ18" s="26" t="n">
        <f aca="false">IF(AQ$3&gt;Assumptions!$F$15,INDEX($C$14:$BJ$14,1,AQ$3-Assumptions!$F$15),0)*Assumptions!$F$25</f>
        <v>2210</v>
      </c>
      <c r="AR18" s="26" t="n">
        <f aca="false">IF(AR$3&gt;Assumptions!$F$15,INDEX($C$14:$BJ$14,1,AR$3-Assumptions!$F$15),0)*Assumptions!$F$25</f>
        <v>2210</v>
      </c>
      <c r="AS18" s="26" t="n">
        <f aca="false">IF(AS$3&gt;Assumptions!$F$15,INDEX($C$14:$BJ$14,1,AS$3-Assumptions!$F$15),0)*Assumptions!$F$25</f>
        <v>2210</v>
      </c>
      <c r="AT18" s="26" t="n">
        <f aca="false">IF(AT$3&gt;Assumptions!$F$15,INDEX($C$14:$BJ$14,1,AT$3-Assumptions!$F$15),0)*Assumptions!$F$25</f>
        <v>2210</v>
      </c>
      <c r="AU18" s="26" t="n">
        <f aca="false">IF(AU$3&gt;Assumptions!$F$15,INDEX($C$14:$BJ$14,1,AU$3-Assumptions!$F$15),0)*Assumptions!$F$25</f>
        <v>2210</v>
      </c>
      <c r="AV18" s="26" t="n">
        <f aca="false">IF(AV$3&gt;Assumptions!$F$15,INDEX($C$14:$BJ$14,1,AV$3-Assumptions!$F$15),0)*Assumptions!$F$25</f>
        <v>2210</v>
      </c>
      <c r="AW18" s="26" t="n">
        <f aca="false">IF(AW$3&gt;Assumptions!$F$15,INDEX($C$14:$BJ$14,1,AW$3-Assumptions!$F$15),0)*Assumptions!$F$25</f>
        <v>2210</v>
      </c>
      <c r="AX18" s="26" t="n">
        <f aca="false">IF(AX$3&gt;Assumptions!$F$15,INDEX($C$14:$BJ$14,1,AX$3-Assumptions!$F$15),0)*Assumptions!$F$25</f>
        <v>2210</v>
      </c>
      <c r="AY18" s="26" t="n">
        <f aca="false">IF(AY$3&gt;Assumptions!$F$15,INDEX($C$14:$BJ$14,1,AY$3-Assumptions!$F$15),0)*Assumptions!$F$25</f>
        <v>2210</v>
      </c>
      <c r="AZ18" s="26" t="n">
        <f aca="false">IF(AZ$3&gt;Assumptions!$F$15,INDEX($C$14:$BJ$14,1,AZ$3-Assumptions!$F$15),0)*Assumptions!$F$25</f>
        <v>2210</v>
      </c>
      <c r="BA18" s="26" t="n">
        <f aca="false">IF(BA$3&gt;Assumptions!$F$15,INDEX($C$14:$BJ$14,1,BA$3-Assumptions!$F$15),0)*Assumptions!$F$25</f>
        <v>2210</v>
      </c>
      <c r="BB18" s="26" t="n">
        <f aca="false">IF(BB$3&gt;Assumptions!$F$15,INDEX($C$14:$BJ$14,1,BB$3-Assumptions!$F$15),0)*Assumptions!$F$25</f>
        <v>2210</v>
      </c>
      <c r="BC18" s="26" t="n">
        <f aca="false">IF(BC$3&gt;Assumptions!$F$15,INDEX($C$14:$BJ$14,1,BC$3-Assumptions!$F$15),0)*Assumptions!$F$25</f>
        <v>2210</v>
      </c>
      <c r="BD18" s="26" t="n">
        <f aca="false">IF(BD$3&gt;Assumptions!$F$15,INDEX($C$14:$BJ$14,1,BD$3-Assumptions!$F$15),0)*Assumptions!$F$25</f>
        <v>2210</v>
      </c>
      <c r="BE18" s="26" t="n">
        <f aca="false">IF(BE$3&gt;Assumptions!$F$15,INDEX($C$14:$BJ$14,1,BE$3-Assumptions!$F$15),0)*Assumptions!$F$25</f>
        <v>2210</v>
      </c>
      <c r="BF18" s="26" t="n">
        <f aca="false">IF(BF$3&gt;Assumptions!$F$15,INDEX($C$14:$BJ$14,1,BF$3-Assumptions!$F$15),0)*Assumptions!$F$25</f>
        <v>2210</v>
      </c>
      <c r="BG18" s="26" t="n">
        <f aca="false">IF(BG$3&gt;Assumptions!$F$15,INDEX($C$14:$BJ$14,1,BG$3-Assumptions!$F$15),0)*Assumptions!$F$25</f>
        <v>2210</v>
      </c>
      <c r="BH18" s="26" t="n">
        <f aca="false">IF(BH$3&gt;Assumptions!$F$15,INDEX($C$14:$BJ$14,1,BH$3-Assumptions!$F$15),0)*Assumptions!$F$25</f>
        <v>2210</v>
      </c>
      <c r="BI18" s="26" t="n">
        <f aca="false">IF(BI$3&gt;Assumptions!$F$15,INDEX($C$14:$BJ$14,1,BI$3-Assumptions!$F$15),0)*Assumptions!$F$25</f>
        <v>2210</v>
      </c>
      <c r="BJ18" s="26" t="n">
        <f aca="false">IF(BJ$3&gt;Assumptions!$F$15,INDEX($C$14:$BJ$14,1,BJ$3-Assumptions!$F$15),0)*Assumptions!$F$25</f>
        <v>2210</v>
      </c>
    </row>
    <row r="19" customFormat="false" ht="15" hidden="false" customHeight="false" outlineLevel="0" collapsed="false">
      <c r="A19" s="9" t="s">
        <v>194</v>
      </c>
      <c r="B19" s="9"/>
      <c r="C19" s="26" t="n">
        <f aca="false">C18*Assumptions!$F$23</f>
        <v>0</v>
      </c>
      <c r="D19" s="26" t="n">
        <f aca="false">D18*Assumptions!$F$23</f>
        <v>0</v>
      </c>
      <c r="E19" s="26" t="n">
        <f aca="false">E18*Assumptions!$F$23</f>
        <v>0</v>
      </c>
      <c r="F19" s="26" t="n">
        <f aca="false">F18*Assumptions!$F$23</f>
        <v>0</v>
      </c>
      <c r="G19" s="26" t="n">
        <f aca="false">G18*Assumptions!$F$23</f>
        <v>0</v>
      </c>
      <c r="H19" s="26" t="n">
        <f aca="false">H18*Assumptions!$F$23</f>
        <v>0</v>
      </c>
      <c r="I19" s="26" t="n">
        <f aca="false">I18*Assumptions!$F$23</f>
        <v>0</v>
      </c>
      <c r="J19" s="26" t="n">
        <f aca="false">J18*Assumptions!$F$23</f>
        <v>65</v>
      </c>
      <c r="K19" s="26" t="n">
        <f aca="false">K18*Assumptions!$F$23</f>
        <v>65</v>
      </c>
      <c r="L19" s="26" t="n">
        <f aca="false">L18*Assumptions!$F$23</f>
        <v>65</v>
      </c>
      <c r="M19" s="26" t="n">
        <f aca="false">M18*Assumptions!$F$23</f>
        <v>65</v>
      </c>
      <c r="N19" s="26" t="n">
        <f aca="false">N18*Assumptions!$F$23</f>
        <v>65</v>
      </c>
      <c r="O19" s="26" t="n">
        <f aca="false">O18*Assumptions!$F$23</f>
        <v>65</v>
      </c>
      <c r="P19" s="26" t="n">
        <f aca="false">P18*Assumptions!$F$23</f>
        <v>110.5</v>
      </c>
      <c r="Q19" s="26" t="n">
        <f aca="false">Q18*Assumptions!$F$23</f>
        <v>110.5</v>
      </c>
      <c r="R19" s="26" t="n">
        <f aca="false">R18*Assumptions!$F$23</f>
        <v>110.5</v>
      </c>
      <c r="S19" s="26" t="n">
        <f aca="false">S18*Assumptions!$F$23</f>
        <v>110.5</v>
      </c>
      <c r="T19" s="26" t="n">
        <f aca="false">T18*Assumptions!$F$23</f>
        <v>110.5</v>
      </c>
      <c r="U19" s="26" t="n">
        <f aca="false">U18*Assumptions!$F$23</f>
        <v>110.5</v>
      </c>
      <c r="V19" s="26" t="n">
        <f aca="false">V18*Assumptions!$F$23</f>
        <v>175.5</v>
      </c>
      <c r="W19" s="26" t="n">
        <f aca="false">W18*Assumptions!$F$23</f>
        <v>175.5</v>
      </c>
      <c r="X19" s="26" t="n">
        <f aca="false">X18*Assumptions!$F$23</f>
        <v>175.5</v>
      </c>
      <c r="Y19" s="26" t="n">
        <f aca="false">Y18*Assumptions!$F$23</f>
        <v>175.5</v>
      </c>
      <c r="Z19" s="26" t="n">
        <f aca="false">Z18*Assumptions!$F$23</f>
        <v>175.5</v>
      </c>
      <c r="AA19" s="26" t="n">
        <f aca="false">AA18*Assumptions!$F$23</f>
        <v>175.5</v>
      </c>
      <c r="AB19" s="26" t="n">
        <f aca="false">AB18*Assumptions!$F$23</f>
        <v>221</v>
      </c>
      <c r="AC19" s="26" t="n">
        <f aca="false">AC18*Assumptions!$F$23</f>
        <v>221</v>
      </c>
      <c r="AD19" s="26" t="n">
        <f aca="false">AD18*Assumptions!$F$23</f>
        <v>221</v>
      </c>
      <c r="AE19" s="26" t="n">
        <f aca="false">AE18*Assumptions!$F$23</f>
        <v>221</v>
      </c>
      <c r="AF19" s="26" t="n">
        <f aca="false">AF18*Assumptions!$F$23</f>
        <v>221</v>
      </c>
      <c r="AG19" s="26" t="n">
        <f aca="false">AG18*Assumptions!$F$23</f>
        <v>221</v>
      </c>
      <c r="AH19" s="26" t="n">
        <f aca="false">AH18*Assumptions!$F$23</f>
        <v>221</v>
      </c>
      <c r="AI19" s="26" t="n">
        <f aca="false">AI18*Assumptions!$F$23</f>
        <v>221</v>
      </c>
      <c r="AJ19" s="26" t="n">
        <f aca="false">AJ18*Assumptions!$F$23</f>
        <v>221</v>
      </c>
      <c r="AK19" s="26" t="n">
        <f aca="false">AK18*Assumptions!$F$23</f>
        <v>221</v>
      </c>
      <c r="AL19" s="26" t="n">
        <f aca="false">AL18*Assumptions!$F$23</f>
        <v>221</v>
      </c>
      <c r="AM19" s="26" t="n">
        <f aca="false">AM18*Assumptions!$F$23</f>
        <v>221</v>
      </c>
      <c r="AN19" s="26" t="n">
        <f aca="false">AN18*Assumptions!$F$23</f>
        <v>221</v>
      </c>
      <c r="AO19" s="26" t="n">
        <f aca="false">AO18*Assumptions!$F$23</f>
        <v>221</v>
      </c>
      <c r="AP19" s="26" t="n">
        <f aca="false">AP18*Assumptions!$F$23</f>
        <v>221</v>
      </c>
      <c r="AQ19" s="26" t="n">
        <f aca="false">AQ18*Assumptions!$F$23</f>
        <v>221</v>
      </c>
      <c r="AR19" s="26" t="n">
        <f aca="false">AR18*Assumptions!$F$23</f>
        <v>221</v>
      </c>
      <c r="AS19" s="26" t="n">
        <f aca="false">AS18*Assumptions!$F$23</f>
        <v>221</v>
      </c>
      <c r="AT19" s="26" t="n">
        <f aca="false">AT18*Assumptions!$F$23</f>
        <v>221</v>
      </c>
      <c r="AU19" s="26" t="n">
        <f aca="false">AU18*Assumptions!$F$23</f>
        <v>221</v>
      </c>
      <c r="AV19" s="26" t="n">
        <f aca="false">AV18*Assumptions!$F$23</f>
        <v>221</v>
      </c>
      <c r="AW19" s="26" t="n">
        <f aca="false">AW18*Assumptions!$F$23</f>
        <v>221</v>
      </c>
      <c r="AX19" s="26" t="n">
        <f aca="false">AX18*Assumptions!$F$23</f>
        <v>221</v>
      </c>
      <c r="AY19" s="26" t="n">
        <f aca="false">AY18*Assumptions!$F$23</f>
        <v>221</v>
      </c>
      <c r="AZ19" s="26" t="n">
        <f aca="false">AZ18*Assumptions!$F$23</f>
        <v>221</v>
      </c>
      <c r="BA19" s="26" t="n">
        <f aca="false">BA18*Assumptions!$F$23</f>
        <v>221</v>
      </c>
      <c r="BB19" s="26" t="n">
        <f aca="false">BB18*Assumptions!$F$23</f>
        <v>221</v>
      </c>
      <c r="BC19" s="26" t="n">
        <f aca="false">BC18*Assumptions!$F$23</f>
        <v>221</v>
      </c>
      <c r="BD19" s="26" t="n">
        <f aca="false">BD18*Assumptions!$F$23</f>
        <v>221</v>
      </c>
      <c r="BE19" s="26" t="n">
        <f aca="false">BE18*Assumptions!$F$23</f>
        <v>221</v>
      </c>
      <c r="BF19" s="26" t="n">
        <f aca="false">BF18*Assumptions!$F$23</f>
        <v>221</v>
      </c>
      <c r="BG19" s="26" t="n">
        <f aca="false">BG18*Assumptions!$F$23</f>
        <v>221</v>
      </c>
      <c r="BH19" s="26" t="n">
        <f aca="false">BH18*Assumptions!$F$23</f>
        <v>221</v>
      </c>
      <c r="BI19" s="26" t="n">
        <f aca="false">BI18*Assumptions!$F$23</f>
        <v>221</v>
      </c>
      <c r="BJ19" s="26" t="n">
        <f aca="false">BJ18*Assumptions!$F$23</f>
        <v>221</v>
      </c>
    </row>
    <row r="20" customFormat="false" ht="15" hidden="false" customHeight="false" outlineLevel="0" collapsed="false">
      <c r="A20" s="9" t="s">
        <v>195</v>
      </c>
      <c r="B20" s="9"/>
      <c r="C20" s="26" t="n">
        <f aca="false">C18*Assumptions!$F$24</f>
        <v>0</v>
      </c>
      <c r="D20" s="26" t="n">
        <f aca="false">D18*Assumptions!$F$24</f>
        <v>0</v>
      </c>
      <c r="E20" s="26" t="n">
        <f aca="false">E18*Assumptions!$F$24</f>
        <v>0</v>
      </c>
      <c r="F20" s="26" t="n">
        <f aca="false">F18*Assumptions!$F$24</f>
        <v>0</v>
      </c>
      <c r="G20" s="26" t="n">
        <f aca="false">G18*Assumptions!$F$24</f>
        <v>0</v>
      </c>
      <c r="H20" s="26" t="n">
        <f aca="false">H18*Assumptions!$F$24</f>
        <v>0</v>
      </c>
      <c r="I20" s="26" t="n">
        <f aca="false">I18*Assumptions!$F$24</f>
        <v>0</v>
      </c>
      <c r="J20" s="26" t="n">
        <f aca="false">J18*Assumptions!$F$24</f>
        <v>65</v>
      </c>
      <c r="K20" s="26" t="n">
        <f aca="false">K18*Assumptions!$F$24</f>
        <v>65</v>
      </c>
      <c r="L20" s="26" t="n">
        <f aca="false">L18*Assumptions!$F$24</f>
        <v>65</v>
      </c>
      <c r="M20" s="26" t="n">
        <f aca="false">M18*Assumptions!$F$24</f>
        <v>65</v>
      </c>
      <c r="N20" s="26" t="n">
        <f aca="false">N18*Assumptions!$F$24</f>
        <v>65</v>
      </c>
      <c r="O20" s="26" t="n">
        <f aca="false">O18*Assumptions!$F$24</f>
        <v>65</v>
      </c>
      <c r="P20" s="26" t="n">
        <f aca="false">P18*Assumptions!$F$24</f>
        <v>110.5</v>
      </c>
      <c r="Q20" s="26" t="n">
        <f aca="false">Q18*Assumptions!$F$24</f>
        <v>110.5</v>
      </c>
      <c r="R20" s="26" t="n">
        <f aca="false">R18*Assumptions!$F$24</f>
        <v>110.5</v>
      </c>
      <c r="S20" s="26" t="n">
        <f aca="false">S18*Assumptions!$F$24</f>
        <v>110.5</v>
      </c>
      <c r="T20" s="26" t="n">
        <f aca="false">T18*Assumptions!$F$24</f>
        <v>110.5</v>
      </c>
      <c r="U20" s="26" t="n">
        <f aca="false">U18*Assumptions!$F$24</f>
        <v>110.5</v>
      </c>
      <c r="V20" s="26" t="n">
        <f aca="false">V18*Assumptions!$F$24</f>
        <v>175.5</v>
      </c>
      <c r="W20" s="26" t="n">
        <f aca="false">W18*Assumptions!$F$24</f>
        <v>175.5</v>
      </c>
      <c r="X20" s="26" t="n">
        <f aca="false">X18*Assumptions!$F$24</f>
        <v>175.5</v>
      </c>
      <c r="Y20" s="26" t="n">
        <f aca="false">Y18*Assumptions!$F$24</f>
        <v>175.5</v>
      </c>
      <c r="Z20" s="26" t="n">
        <f aca="false">Z18*Assumptions!$F$24</f>
        <v>175.5</v>
      </c>
      <c r="AA20" s="26" t="n">
        <f aca="false">AA18*Assumptions!$F$24</f>
        <v>175.5</v>
      </c>
      <c r="AB20" s="26" t="n">
        <f aca="false">AB18*Assumptions!$F$24</f>
        <v>221</v>
      </c>
      <c r="AC20" s="26" t="n">
        <f aca="false">AC18*Assumptions!$F$24</f>
        <v>221</v>
      </c>
      <c r="AD20" s="26" t="n">
        <f aca="false">AD18*Assumptions!$F$24</f>
        <v>221</v>
      </c>
      <c r="AE20" s="26" t="n">
        <f aca="false">AE18*Assumptions!$F$24</f>
        <v>221</v>
      </c>
      <c r="AF20" s="26" t="n">
        <f aca="false">AF18*Assumptions!$F$24</f>
        <v>221</v>
      </c>
      <c r="AG20" s="26" t="n">
        <f aca="false">AG18*Assumptions!$F$24</f>
        <v>221</v>
      </c>
      <c r="AH20" s="26" t="n">
        <f aca="false">AH18*Assumptions!$F$24</f>
        <v>221</v>
      </c>
      <c r="AI20" s="26" t="n">
        <f aca="false">AI18*Assumptions!$F$24</f>
        <v>221</v>
      </c>
      <c r="AJ20" s="26" t="n">
        <f aca="false">AJ18*Assumptions!$F$24</f>
        <v>221</v>
      </c>
      <c r="AK20" s="26" t="n">
        <f aca="false">AK18*Assumptions!$F$24</f>
        <v>221</v>
      </c>
      <c r="AL20" s="26" t="n">
        <f aca="false">AL18*Assumptions!$F$24</f>
        <v>221</v>
      </c>
      <c r="AM20" s="26" t="n">
        <f aca="false">AM18*Assumptions!$F$24</f>
        <v>221</v>
      </c>
      <c r="AN20" s="26" t="n">
        <f aca="false">AN18*Assumptions!$F$24</f>
        <v>221</v>
      </c>
      <c r="AO20" s="26" t="n">
        <f aca="false">AO18*Assumptions!$F$24</f>
        <v>221</v>
      </c>
      <c r="AP20" s="26" t="n">
        <f aca="false">AP18*Assumptions!$F$24</f>
        <v>221</v>
      </c>
      <c r="AQ20" s="26" t="n">
        <f aca="false">AQ18*Assumptions!$F$24</f>
        <v>221</v>
      </c>
      <c r="AR20" s="26" t="n">
        <f aca="false">AR18*Assumptions!$F$24</f>
        <v>221</v>
      </c>
      <c r="AS20" s="26" t="n">
        <f aca="false">AS18*Assumptions!$F$24</f>
        <v>221</v>
      </c>
      <c r="AT20" s="26" t="n">
        <f aca="false">AT18*Assumptions!$F$24</f>
        <v>221</v>
      </c>
      <c r="AU20" s="26" t="n">
        <f aca="false">AU18*Assumptions!$F$24</f>
        <v>221</v>
      </c>
      <c r="AV20" s="26" t="n">
        <f aca="false">AV18*Assumptions!$F$24</f>
        <v>221</v>
      </c>
      <c r="AW20" s="26" t="n">
        <f aca="false">AW18*Assumptions!$F$24</f>
        <v>221</v>
      </c>
      <c r="AX20" s="26" t="n">
        <f aca="false">AX18*Assumptions!$F$24</f>
        <v>221</v>
      </c>
      <c r="AY20" s="26" t="n">
        <f aca="false">AY18*Assumptions!$F$24</f>
        <v>221</v>
      </c>
      <c r="AZ20" s="26" t="n">
        <f aca="false">AZ18*Assumptions!$F$24</f>
        <v>221</v>
      </c>
      <c r="BA20" s="26" t="n">
        <f aca="false">BA18*Assumptions!$F$24</f>
        <v>221</v>
      </c>
      <c r="BB20" s="26" t="n">
        <f aca="false">BB18*Assumptions!$F$24</f>
        <v>221</v>
      </c>
      <c r="BC20" s="26" t="n">
        <f aca="false">BC18*Assumptions!$F$24</f>
        <v>221</v>
      </c>
      <c r="BD20" s="26" t="n">
        <f aca="false">BD18*Assumptions!$F$24</f>
        <v>221</v>
      </c>
      <c r="BE20" s="26" t="n">
        <f aca="false">BE18*Assumptions!$F$24</f>
        <v>221</v>
      </c>
      <c r="BF20" s="26" t="n">
        <f aca="false">BF18*Assumptions!$F$24</f>
        <v>221</v>
      </c>
      <c r="BG20" s="26" t="n">
        <f aca="false">BG18*Assumptions!$F$24</f>
        <v>221</v>
      </c>
      <c r="BH20" s="26" t="n">
        <f aca="false">BH18*Assumptions!$F$24</f>
        <v>221</v>
      </c>
      <c r="BI20" s="26" t="n">
        <f aca="false">BI18*Assumptions!$F$24</f>
        <v>221</v>
      </c>
      <c r="BJ20" s="26" t="n">
        <f aca="false">BJ18*Assumptions!$F$24</f>
        <v>221</v>
      </c>
    </row>
    <row r="21" customFormat="false" ht="15" hidden="false" customHeight="false" outlineLevel="0" collapsed="false">
      <c r="A21" s="3" t="s">
        <v>196</v>
      </c>
      <c r="B21" s="9"/>
      <c r="C21" s="14" t="n">
        <f aca="false">C18-C19-C20</f>
        <v>0</v>
      </c>
      <c r="D21" s="14" t="n">
        <f aca="false">D18-D19-D20</f>
        <v>0</v>
      </c>
      <c r="E21" s="14" t="n">
        <f aca="false">E18-E19-E20</f>
        <v>0</v>
      </c>
      <c r="F21" s="14" t="n">
        <f aca="false">F18-F19-F20</f>
        <v>0</v>
      </c>
      <c r="G21" s="14" t="n">
        <f aca="false">G18-G19-G20</f>
        <v>0</v>
      </c>
      <c r="H21" s="14" t="n">
        <f aca="false">H18-H19-H20</f>
        <v>0</v>
      </c>
      <c r="I21" s="14" t="n">
        <f aca="false">I18-I19-I20</f>
        <v>0</v>
      </c>
      <c r="J21" s="14" t="n">
        <f aca="false">J18-J19-J20</f>
        <v>520</v>
      </c>
      <c r="K21" s="14" t="n">
        <f aca="false">K18-K19-K20</f>
        <v>520</v>
      </c>
      <c r="L21" s="14" t="n">
        <f aca="false">L18-L19-L20</f>
        <v>520</v>
      </c>
      <c r="M21" s="14" t="n">
        <f aca="false">M18-M19-M20</f>
        <v>520</v>
      </c>
      <c r="N21" s="14" t="n">
        <f aca="false">N18-N19-N20</f>
        <v>520</v>
      </c>
      <c r="O21" s="14" t="n">
        <f aca="false">O18-O19-O20</f>
        <v>520</v>
      </c>
      <c r="P21" s="14" t="n">
        <f aca="false">P18-P19-P20</f>
        <v>884</v>
      </c>
      <c r="Q21" s="14" t="n">
        <f aca="false">Q18-Q19-Q20</f>
        <v>884</v>
      </c>
      <c r="R21" s="14" t="n">
        <f aca="false">R18-R19-R20</f>
        <v>884</v>
      </c>
      <c r="S21" s="14" t="n">
        <f aca="false">S18-S19-S20</f>
        <v>884</v>
      </c>
      <c r="T21" s="14" t="n">
        <f aca="false">T18-T19-T20</f>
        <v>884</v>
      </c>
      <c r="U21" s="14" t="n">
        <f aca="false">U18-U19-U20</f>
        <v>884</v>
      </c>
      <c r="V21" s="14" t="n">
        <f aca="false">V18-V19-V20</f>
        <v>1404</v>
      </c>
      <c r="W21" s="14" t="n">
        <f aca="false">W18-W19-W20</f>
        <v>1404</v>
      </c>
      <c r="X21" s="14" t="n">
        <f aca="false">X18-X19-X20</f>
        <v>1404</v>
      </c>
      <c r="Y21" s="14" t="n">
        <f aca="false">Y18-Y19-Y20</f>
        <v>1404</v>
      </c>
      <c r="Z21" s="14" t="n">
        <f aca="false">Z18-Z19-Z20</f>
        <v>1404</v>
      </c>
      <c r="AA21" s="14" t="n">
        <f aca="false">AA18-AA19-AA20</f>
        <v>1404</v>
      </c>
      <c r="AB21" s="14" t="n">
        <f aca="false">AB18-AB19-AB20</f>
        <v>1768</v>
      </c>
      <c r="AC21" s="14" t="n">
        <f aca="false">AC18-AC19-AC20</f>
        <v>1768</v>
      </c>
      <c r="AD21" s="14" t="n">
        <f aca="false">AD18-AD19-AD20</f>
        <v>1768</v>
      </c>
      <c r="AE21" s="14" t="n">
        <f aca="false">AE18-AE19-AE20</f>
        <v>1768</v>
      </c>
      <c r="AF21" s="14" t="n">
        <f aca="false">AF18-AF19-AF20</f>
        <v>1768</v>
      </c>
      <c r="AG21" s="14" t="n">
        <f aca="false">AG18-AG19-AG20</f>
        <v>1768</v>
      </c>
      <c r="AH21" s="14" t="n">
        <f aca="false">AH18-AH19-AH20</f>
        <v>1768</v>
      </c>
      <c r="AI21" s="14" t="n">
        <f aca="false">AI18-AI19-AI20</f>
        <v>1768</v>
      </c>
      <c r="AJ21" s="14" t="n">
        <f aca="false">AJ18-AJ19-AJ20</f>
        <v>1768</v>
      </c>
      <c r="AK21" s="14" t="n">
        <f aca="false">AK18-AK19-AK20</f>
        <v>1768</v>
      </c>
      <c r="AL21" s="14" t="n">
        <f aca="false">AL18-AL19-AL20</f>
        <v>1768</v>
      </c>
      <c r="AM21" s="14" t="n">
        <f aca="false">AM18-AM19-AM20</f>
        <v>1768</v>
      </c>
      <c r="AN21" s="14" t="n">
        <f aca="false">AN18-AN19-AN20</f>
        <v>1768</v>
      </c>
      <c r="AO21" s="14" t="n">
        <f aca="false">AO18-AO19-AO20</f>
        <v>1768</v>
      </c>
      <c r="AP21" s="14" t="n">
        <f aca="false">AP18-AP19-AP20</f>
        <v>1768</v>
      </c>
      <c r="AQ21" s="14" t="n">
        <f aca="false">AQ18-AQ19-AQ20</f>
        <v>1768</v>
      </c>
      <c r="AR21" s="14" t="n">
        <f aca="false">AR18-AR19-AR20</f>
        <v>1768</v>
      </c>
      <c r="AS21" s="14" t="n">
        <f aca="false">AS18-AS19-AS20</f>
        <v>1768</v>
      </c>
      <c r="AT21" s="14" t="n">
        <f aca="false">AT18-AT19-AT20</f>
        <v>1768</v>
      </c>
      <c r="AU21" s="14" t="n">
        <f aca="false">AU18-AU19-AU20</f>
        <v>1768</v>
      </c>
      <c r="AV21" s="14" t="n">
        <f aca="false">AV18-AV19-AV20</f>
        <v>1768</v>
      </c>
      <c r="AW21" s="14" t="n">
        <f aca="false">AW18-AW19-AW20</f>
        <v>1768</v>
      </c>
      <c r="AX21" s="14" t="n">
        <f aca="false">AX18-AX19-AX20</f>
        <v>1768</v>
      </c>
      <c r="AY21" s="14" t="n">
        <f aca="false">AY18-AY19-AY20</f>
        <v>1768</v>
      </c>
      <c r="AZ21" s="14" t="n">
        <f aca="false">AZ18-AZ19-AZ20</f>
        <v>1768</v>
      </c>
      <c r="BA21" s="14" t="n">
        <f aca="false">BA18-BA19-BA20</f>
        <v>1768</v>
      </c>
      <c r="BB21" s="14" t="n">
        <f aca="false">BB18-BB19-BB20</f>
        <v>1768</v>
      </c>
      <c r="BC21" s="14" t="n">
        <f aca="false">BC18-BC19-BC20</f>
        <v>1768</v>
      </c>
      <c r="BD21" s="14" t="n">
        <f aca="false">BD18-BD19-BD20</f>
        <v>1768</v>
      </c>
      <c r="BE21" s="14" t="n">
        <f aca="false">BE18-BE19-BE20</f>
        <v>1768</v>
      </c>
      <c r="BF21" s="14" t="n">
        <f aca="false">BF18-BF19-BF20</f>
        <v>1768</v>
      </c>
      <c r="BG21" s="14" t="n">
        <f aca="false">BG18-BG19-BG20</f>
        <v>1768</v>
      </c>
      <c r="BH21" s="14" t="n">
        <f aca="false">BH18-BH19-BH20</f>
        <v>1768</v>
      </c>
      <c r="BI21" s="14" t="n">
        <f aca="false">BI18-BI19-BI20</f>
        <v>1768</v>
      </c>
      <c r="BJ21" s="14" t="n">
        <f aca="false">BJ18-BJ19-BJ20</f>
        <v>1768</v>
      </c>
    </row>
    <row r="22" customFormat="false" ht="15" hidden="false" customHeight="false" outlineLevel="0" collapsed="false">
      <c r="A22" s="9" t="s">
        <v>197</v>
      </c>
      <c r="B22" s="9"/>
      <c r="C22" s="23" t="n">
        <f aca="false">CHOOSE(MOD(C$3-1,12)+1,Assumptions!$F$42,Assumptions!$F$43,Assumptions!$F$44,Assumptions!$F$45,Assumptions!$F$46,Assumptions!$F$47,Assumptions!$F$48,Assumptions!$F$49,Assumptions!$F$50,Assumptions!$F$51,Assumptions!$F$52,Assumptions!$F$53)</f>
        <v>0.6</v>
      </c>
      <c r="D22" s="23" t="n">
        <f aca="false">CHOOSE(MOD(D$3-1,12)+1,Assumptions!$F$42,Assumptions!$F$43,Assumptions!$F$44,Assumptions!$F$45,Assumptions!$F$46,Assumptions!$F$47,Assumptions!$F$48,Assumptions!$F$49,Assumptions!$F$50,Assumptions!$F$51,Assumptions!$F$52,Assumptions!$F$53)</f>
        <v>0.6</v>
      </c>
      <c r="E22" s="23" t="n">
        <f aca="false">CHOOSE(MOD(E$3-1,12)+1,Assumptions!$F$42,Assumptions!$F$43,Assumptions!$F$44,Assumptions!$F$45,Assumptions!$F$46,Assumptions!$F$47,Assumptions!$F$48,Assumptions!$F$49,Assumptions!$F$50,Assumptions!$F$51,Assumptions!$F$52,Assumptions!$F$53)</f>
        <v>0.7</v>
      </c>
      <c r="F22" s="23" t="n">
        <f aca="false">CHOOSE(MOD(F$3-1,12)+1,Assumptions!$F$42,Assumptions!$F$43,Assumptions!$F$44,Assumptions!$F$45,Assumptions!$F$46,Assumptions!$F$47,Assumptions!$F$48,Assumptions!$F$49,Assumptions!$F$50,Assumptions!$F$51,Assumptions!$F$52,Assumptions!$F$53)</f>
        <v>0.8</v>
      </c>
      <c r="G22" s="23" t="n">
        <f aca="false">CHOOSE(MOD(G$3-1,12)+1,Assumptions!$F$42,Assumptions!$F$43,Assumptions!$F$44,Assumptions!$F$45,Assumptions!$F$46,Assumptions!$F$47,Assumptions!$F$48,Assumptions!$F$49,Assumptions!$F$50,Assumptions!$F$51,Assumptions!$F$52,Assumptions!$F$53)</f>
        <v>1.2</v>
      </c>
      <c r="H22" s="23" t="n">
        <f aca="false">CHOOSE(MOD(H$3-1,12)+1,Assumptions!$F$42,Assumptions!$F$43,Assumptions!$F$44,Assumptions!$F$45,Assumptions!$F$46,Assumptions!$F$47,Assumptions!$F$48,Assumptions!$F$49,Assumptions!$F$50,Assumptions!$F$51,Assumptions!$F$52,Assumptions!$F$53)</f>
        <v>1.5</v>
      </c>
      <c r="I22" s="23" t="n">
        <f aca="false">CHOOSE(MOD(I$3-1,12)+1,Assumptions!$F$42,Assumptions!$F$43,Assumptions!$F$44,Assumptions!$F$45,Assumptions!$F$46,Assumptions!$F$47,Assumptions!$F$48,Assumptions!$F$49,Assumptions!$F$50,Assumptions!$F$51,Assumptions!$F$52,Assumptions!$F$53)</f>
        <v>1.6</v>
      </c>
      <c r="J22" s="23" t="n">
        <f aca="false">CHOOSE(MOD(J$3-1,12)+1,Assumptions!$F$42,Assumptions!$F$43,Assumptions!$F$44,Assumptions!$F$45,Assumptions!$F$46,Assumptions!$F$47,Assumptions!$F$48,Assumptions!$F$49,Assumptions!$F$50,Assumptions!$F$51,Assumptions!$F$52,Assumptions!$F$53)</f>
        <v>1.4</v>
      </c>
      <c r="K22" s="23" t="n">
        <f aca="false">CHOOSE(MOD(K$3-1,12)+1,Assumptions!$F$42,Assumptions!$F$43,Assumptions!$F$44,Assumptions!$F$45,Assumptions!$F$46,Assumptions!$F$47,Assumptions!$F$48,Assumptions!$F$49,Assumptions!$F$50,Assumptions!$F$51,Assumptions!$F$52,Assumptions!$F$53)</f>
        <v>1.3</v>
      </c>
      <c r="L22" s="23" t="n">
        <f aca="false">CHOOSE(MOD(L$3-1,12)+1,Assumptions!$F$42,Assumptions!$F$43,Assumptions!$F$44,Assumptions!$F$45,Assumptions!$F$46,Assumptions!$F$47,Assumptions!$F$48,Assumptions!$F$49,Assumptions!$F$50,Assumptions!$F$51,Assumptions!$F$52,Assumptions!$F$53)</f>
        <v>1</v>
      </c>
      <c r="M22" s="23" t="n">
        <f aca="false">CHOOSE(MOD(M$3-1,12)+1,Assumptions!$F$42,Assumptions!$F$43,Assumptions!$F$44,Assumptions!$F$45,Assumptions!$F$46,Assumptions!$F$47,Assumptions!$F$48,Assumptions!$F$49,Assumptions!$F$50,Assumptions!$F$51,Assumptions!$F$52,Assumptions!$F$53)</f>
        <v>0.7</v>
      </c>
      <c r="N22" s="23" t="n">
        <f aca="false">CHOOSE(MOD(N$3-1,12)+1,Assumptions!$F$42,Assumptions!$F$43,Assumptions!$F$44,Assumptions!$F$45,Assumptions!$F$46,Assumptions!$F$47,Assumptions!$F$48,Assumptions!$F$49,Assumptions!$F$50,Assumptions!$F$51,Assumptions!$F$52,Assumptions!$F$53)</f>
        <v>0.6</v>
      </c>
      <c r="O22" s="23" t="n">
        <f aca="false">CHOOSE(MOD(O$3-1,12)+1,Assumptions!$F$42,Assumptions!$F$43,Assumptions!$F$44,Assumptions!$F$45,Assumptions!$F$46,Assumptions!$F$47,Assumptions!$F$48,Assumptions!$F$49,Assumptions!$F$50,Assumptions!$F$51,Assumptions!$F$52,Assumptions!$F$53)</f>
        <v>0.6</v>
      </c>
      <c r="P22" s="23" t="n">
        <f aca="false">CHOOSE(MOD(P$3-1,12)+1,Assumptions!$F$42,Assumptions!$F$43,Assumptions!$F$44,Assumptions!$F$45,Assumptions!$F$46,Assumptions!$F$47,Assumptions!$F$48,Assumptions!$F$49,Assumptions!$F$50,Assumptions!$F$51,Assumptions!$F$52,Assumptions!$F$53)</f>
        <v>0.6</v>
      </c>
      <c r="Q22" s="23" t="n">
        <f aca="false">CHOOSE(MOD(Q$3-1,12)+1,Assumptions!$F$42,Assumptions!$F$43,Assumptions!$F$44,Assumptions!$F$45,Assumptions!$F$46,Assumptions!$F$47,Assumptions!$F$48,Assumptions!$F$49,Assumptions!$F$50,Assumptions!$F$51,Assumptions!$F$52,Assumptions!$F$53)</f>
        <v>0.7</v>
      </c>
      <c r="R22" s="23" t="n">
        <f aca="false">CHOOSE(MOD(R$3-1,12)+1,Assumptions!$F$42,Assumptions!$F$43,Assumptions!$F$44,Assumptions!$F$45,Assumptions!$F$46,Assumptions!$F$47,Assumptions!$F$48,Assumptions!$F$49,Assumptions!$F$50,Assumptions!$F$51,Assumptions!$F$52,Assumptions!$F$53)</f>
        <v>0.8</v>
      </c>
      <c r="S22" s="23" t="n">
        <f aca="false">CHOOSE(MOD(S$3-1,12)+1,Assumptions!$F$42,Assumptions!$F$43,Assumptions!$F$44,Assumptions!$F$45,Assumptions!$F$46,Assumptions!$F$47,Assumptions!$F$48,Assumptions!$F$49,Assumptions!$F$50,Assumptions!$F$51,Assumptions!$F$52,Assumptions!$F$53)</f>
        <v>1.2</v>
      </c>
      <c r="T22" s="23" t="n">
        <f aca="false">CHOOSE(MOD(T$3-1,12)+1,Assumptions!$F$42,Assumptions!$F$43,Assumptions!$F$44,Assumptions!$F$45,Assumptions!$F$46,Assumptions!$F$47,Assumptions!$F$48,Assumptions!$F$49,Assumptions!$F$50,Assumptions!$F$51,Assumptions!$F$52,Assumptions!$F$53)</f>
        <v>1.5</v>
      </c>
      <c r="U22" s="23" t="n">
        <f aca="false">CHOOSE(MOD(U$3-1,12)+1,Assumptions!$F$42,Assumptions!$F$43,Assumptions!$F$44,Assumptions!$F$45,Assumptions!$F$46,Assumptions!$F$47,Assumptions!$F$48,Assumptions!$F$49,Assumptions!$F$50,Assumptions!$F$51,Assumptions!$F$52,Assumptions!$F$53)</f>
        <v>1.6</v>
      </c>
      <c r="V22" s="23" t="n">
        <f aca="false">CHOOSE(MOD(V$3-1,12)+1,Assumptions!$F$42,Assumptions!$F$43,Assumptions!$F$44,Assumptions!$F$45,Assumptions!$F$46,Assumptions!$F$47,Assumptions!$F$48,Assumptions!$F$49,Assumptions!$F$50,Assumptions!$F$51,Assumptions!$F$52,Assumptions!$F$53)</f>
        <v>1.4</v>
      </c>
      <c r="W22" s="23" t="n">
        <f aca="false">CHOOSE(MOD(W$3-1,12)+1,Assumptions!$F$42,Assumptions!$F$43,Assumptions!$F$44,Assumptions!$F$45,Assumptions!$F$46,Assumptions!$F$47,Assumptions!$F$48,Assumptions!$F$49,Assumptions!$F$50,Assumptions!$F$51,Assumptions!$F$52,Assumptions!$F$53)</f>
        <v>1.3</v>
      </c>
      <c r="X22" s="23" t="n">
        <f aca="false">CHOOSE(MOD(X$3-1,12)+1,Assumptions!$F$42,Assumptions!$F$43,Assumptions!$F$44,Assumptions!$F$45,Assumptions!$F$46,Assumptions!$F$47,Assumptions!$F$48,Assumptions!$F$49,Assumptions!$F$50,Assumptions!$F$51,Assumptions!$F$52,Assumptions!$F$53)</f>
        <v>1</v>
      </c>
      <c r="Y22" s="23" t="n">
        <f aca="false">CHOOSE(MOD(Y$3-1,12)+1,Assumptions!$F$42,Assumptions!$F$43,Assumptions!$F$44,Assumptions!$F$45,Assumptions!$F$46,Assumptions!$F$47,Assumptions!$F$48,Assumptions!$F$49,Assumptions!$F$50,Assumptions!$F$51,Assumptions!$F$52,Assumptions!$F$53)</f>
        <v>0.7</v>
      </c>
      <c r="Z22" s="23" t="n">
        <f aca="false">CHOOSE(MOD(Z$3-1,12)+1,Assumptions!$F$42,Assumptions!$F$43,Assumptions!$F$44,Assumptions!$F$45,Assumptions!$F$46,Assumptions!$F$47,Assumptions!$F$48,Assumptions!$F$49,Assumptions!$F$50,Assumptions!$F$51,Assumptions!$F$52,Assumptions!$F$53)</f>
        <v>0.6</v>
      </c>
      <c r="AA22" s="23" t="n">
        <f aca="false">CHOOSE(MOD(AA$3-1,12)+1,Assumptions!$F$42,Assumptions!$F$43,Assumptions!$F$44,Assumptions!$F$45,Assumptions!$F$46,Assumptions!$F$47,Assumptions!$F$48,Assumptions!$F$49,Assumptions!$F$50,Assumptions!$F$51,Assumptions!$F$52,Assumptions!$F$53)</f>
        <v>0.6</v>
      </c>
      <c r="AB22" s="23" t="n">
        <f aca="false">CHOOSE(MOD(AB$3-1,12)+1,Assumptions!$F$42,Assumptions!$F$43,Assumptions!$F$44,Assumptions!$F$45,Assumptions!$F$46,Assumptions!$F$47,Assumptions!$F$48,Assumptions!$F$49,Assumptions!$F$50,Assumptions!$F$51,Assumptions!$F$52,Assumptions!$F$53)</f>
        <v>0.6</v>
      </c>
      <c r="AC22" s="23" t="n">
        <f aca="false">CHOOSE(MOD(AC$3-1,12)+1,Assumptions!$F$42,Assumptions!$F$43,Assumptions!$F$44,Assumptions!$F$45,Assumptions!$F$46,Assumptions!$F$47,Assumptions!$F$48,Assumptions!$F$49,Assumptions!$F$50,Assumptions!$F$51,Assumptions!$F$52,Assumptions!$F$53)</f>
        <v>0.7</v>
      </c>
      <c r="AD22" s="23" t="n">
        <f aca="false">CHOOSE(MOD(AD$3-1,12)+1,Assumptions!$F$42,Assumptions!$F$43,Assumptions!$F$44,Assumptions!$F$45,Assumptions!$F$46,Assumptions!$F$47,Assumptions!$F$48,Assumptions!$F$49,Assumptions!$F$50,Assumptions!$F$51,Assumptions!$F$52,Assumptions!$F$53)</f>
        <v>0.8</v>
      </c>
      <c r="AE22" s="23" t="n">
        <f aca="false">CHOOSE(MOD(AE$3-1,12)+1,Assumptions!$F$42,Assumptions!$F$43,Assumptions!$F$44,Assumptions!$F$45,Assumptions!$F$46,Assumptions!$F$47,Assumptions!$F$48,Assumptions!$F$49,Assumptions!$F$50,Assumptions!$F$51,Assumptions!$F$52,Assumptions!$F$53)</f>
        <v>1.2</v>
      </c>
      <c r="AF22" s="23" t="n">
        <f aca="false">CHOOSE(MOD(AF$3-1,12)+1,Assumptions!$F$42,Assumptions!$F$43,Assumptions!$F$44,Assumptions!$F$45,Assumptions!$F$46,Assumptions!$F$47,Assumptions!$F$48,Assumptions!$F$49,Assumptions!$F$50,Assumptions!$F$51,Assumptions!$F$52,Assumptions!$F$53)</f>
        <v>1.5</v>
      </c>
      <c r="AG22" s="23" t="n">
        <f aca="false">CHOOSE(MOD(AG$3-1,12)+1,Assumptions!$F$42,Assumptions!$F$43,Assumptions!$F$44,Assumptions!$F$45,Assumptions!$F$46,Assumptions!$F$47,Assumptions!$F$48,Assumptions!$F$49,Assumptions!$F$50,Assumptions!$F$51,Assumptions!$F$52,Assumptions!$F$53)</f>
        <v>1.6</v>
      </c>
      <c r="AH22" s="23" t="n">
        <f aca="false">CHOOSE(MOD(AH$3-1,12)+1,Assumptions!$F$42,Assumptions!$F$43,Assumptions!$F$44,Assumptions!$F$45,Assumptions!$F$46,Assumptions!$F$47,Assumptions!$F$48,Assumptions!$F$49,Assumptions!$F$50,Assumptions!$F$51,Assumptions!$F$52,Assumptions!$F$53)</f>
        <v>1.4</v>
      </c>
      <c r="AI22" s="23" t="n">
        <f aca="false">CHOOSE(MOD(AI$3-1,12)+1,Assumptions!$F$42,Assumptions!$F$43,Assumptions!$F$44,Assumptions!$F$45,Assumptions!$F$46,Assumptions!$F$47,Assumptions!$F$48,Assumptions!$F$49,Assumptions!$F$50,Assumptions!$F$51,Assumptions!$F$52,Assumptions!$F$53)</f>
        <v>1.3</v>
      </c>
      <c r="AJ22" s="23" t="n">
        <f aca="false">CHOOSE(MOD(AJ$3-1,12)+1,Assumptions!$F$42,Assumptions!$F$43,Assumptions!$F$44,Assumptions!$F$45,Assumptions!$F$46,Assumptions!$F$47,Assumptions!$F$48,Assumptions!$F$49,Assumptions!$F$50,Assumptions!$F$51,Assumptions!$F$52,Assumptions!$F$53)</f>
        <v>1</v>
      </c>
      <c r="AK22" s="23" t="n">
        <f aca="false">CHOOSE(MOD(AK$3-1,12)+1,Assumptions!$F$42,Assumptions!$F$43,Assumptions!$F$44,Assumptions!$F$45,Assumptions!$F$46,Assumptions!$F$47,Assumptions!$F$48,Assumptions!$F$49,Assumptions!$F$50,Assumptions!$F$51,Assumptions!$F$52,Assumptions!$F$53)</f>
        <v>0.7</v>
      </c>
      <c r="AL22" s="23" t="n">
        <f aca="false">CHOOSE(MOD(AL$3-1,12)+1,Assumptions!$F$42,Assumptions!$F$43,Assumptions!$F$44,Assumptions!$F$45,Assumptions!$F$46,Assumptions!$F$47,Assumptions!$F$48,Assumptions!$F$49,Assumptions!$F$50,Assumptions!$F$51,Assumptions!$F$52,Assumptions!$F$53)</f>
        <v>0.6</v>
      </c>
      <c r="AM22" s="23" t="n">
        <f aca="false">CHOOSE(MOD(AM$3-1,12)+1,Assumptions!$F$42,Assumptions!$F$43,Assumptions!$F$44,Assumptions!$F$45,Assumptions!$F$46,Assumptions!$F$47,Assumptions!$F$48,Assumptions!$F$49,Assumptions!$F$50,Assumptions!$F$51,Assumptions!$F$52,Assumptions!$F$53)</f>
        <v>0.6</v>
      </c>
      <c r="AN22" s="23" t="n">
        <f aca="false">CHOOSE(MOD(AN$3-1,12)+1,Assumptions!$F$42,Assumptions!$F$43,Assumptions!$F$44,Assumptions!$F$45,Assumptions!$F$46,Assumptions!$F$47,Assumptions!$F$48,Assumptions!$F$49,Assumptions!$F$50,Assumptions!$F$51,Assumptions!$F$52,Assumptions!$F$53)</f>
        <v>0.6</v>
      </c>
      <c r="AO22" s="23" t="n">
        <f aca="false">CHOOSE(MOD(AO$3-1,12)+1,Assumptions!$F$42,Assumptions!$F$43,Assumptions!$F$44,Assumptions!$F$45,Assumptions!$F$46,Assumptions!$F$47,Assumptions!$F$48,Assumptions!$F$49,Assumptions!$F$50,Assumptions!$F$51,Assumptions!$F$52,Assumptions!$F$53)</f>
        <v>0.7</v>
      </c>
      <c r="AP22" s="23" t="n">
        <f aca="false">CHOOSE(MOD(AP$3-1,12)+1,Assumptions!$F$42,Assumptions!$F$43,Assumptions!$F$44,Assumptions!$F$45,Assumptions!$F$46,Assumptions!$F$47,Assumptions!$F$48,Assumptions!$F$49,Assumptions!$F$50,Assumptions!$F$51,Assumptions!$F$52,Assumptions!$F$53)</f>
        <v>0.8</v>
      </c>
      <c r="AQ22" s="23" t="n">
        <f aca="false">CHOOSE(MOD(AQ$3-1,12)+1,Assumptions!$F$42,Assumptions!$F$43,Assumptions!$F$44,Assumptions!$F$45,Assumptions!$F$46,Assumptions!$F$47,Assumptions!$F$48,Assumptions!$F$49,Assumptions!$F$50,Assumptions!$F$51,Assumptions!$F$52,Assumptions!$F$53)</f>
        <v>1.2</v>
      </c>
      <c r="AR22" s="23" t="n">
        <f aca="false">CHOOSE(MOD(AR$3-1,12)+1,Assumptions!$F$42,Assumptions!$F$43,Assumptions!$F$44,Assumptions!$F$45,Assumptions!$F$46,Assumptions!$F$47,Assumptions!$F$48,Assumptions!$F$49,Assumptions!$F$50,Assumptions!$F$51,Assumptions!$F$52,Assumptions!$F$53)</f>
        <v>1.5</v>
      </c>
      <c r="AS22" s="23" t="n">
        <f aca="false">CHOOSE(MOD(AS$3-1,12)+1,Assumptions!$F$42,Assumptions!$F$43,Assumptions!$F$44,Assumptions!$F$45,Assumptions!$F$46,Assumptions!$F$47,Assumptions!$F$48,Assumptions!$F$49,Assumptions!$F$50,Assumptions!$F$51,Assumptions!$F$52,Assumptions!$F$53)</f>
        <v>1.6</v>
      </c>
      <c r="AT22" s="23" t="n">
        <f aca="false">CHOOSE(MOD(AT$3-1,12)+1,Assumptions!$F$42,Assumptions!$F$43,Assumptions!$F$44,Assumptions!$F$45,Assumptions!$F$46,Assumptions!$F$47,Assumptions!$F$48,Assumptions!$F$49,Assumptions!$F$50,Assumptions!$F$51,Assumptions!$F$52,Assumptions!$F$53)</f>
        <v>1.4</v>
      </c>
      <c r="AU22" s="23" t="n">
        <f aca="false">CHOOSE(MOD(AU$3-1,12)+1,Assumptions!$F$42,Assumptions!$F$43,Assumptions!$F$44,Assumptions!$F$45,Assumptions!$F$46,Assumptions!$F$47,Assumptions!$F$48,Assumptions!$F$49,Assumptions!$F$50,Assumptions!$F$51,Assumptions!$F$52,Assumptions!$F$53)</f>
        <v>1.3</v>
      </c>
      <c r="AV22" s="23" t="n">
        <f aca="false">CHOOSE(MOD(AV$3-1,12)+1,Assumptions!$F$42,Assumptions!$F$43,Assumptions!$F$44,Assumptions!$F$45,Assumptions!$F$46,Assumptions!$F$47,Assumptions!$F$48,Assumptions!$F$49,Assumptions!$F$50,Assumptions!$F$51,Assumptions!$F$52,Assumptions!$F$53)</f>
        <v>1</v>
      </c>
      <c r="AW22" s="23" t="n">
        <f aca="false">CHOOSE(MOD(AW$3-1,12)+1,Assumptions!$F$42,Assumptions!$F$43,Assumptions!$F$44,Assumptions!$F$45,Assumptions!$F$46,Assumptions!$F$47,Assumptions!$F$48,Assumptions!$F$49,Assumptions!$F$50,Assumptions!$F$51,Assumptions!$F$52,Assumptions!$F$53)</f>
        <v>0.7</v>
      </c>
      <c r="AX22" s="23" t="n">
        <f aca="false">CHOOSE(MOD(AX$3-1,12)+1,Assumptions!$F$42,Assumptions!$F$43,Assumptions!$F$44,Assumptions!$F$45,Assumptions!$F$46,Assumptions!$F$47,Assumptions!$F$48,Assumptions!$F$49,Assumptions!$F$50,Assumptions!$F$51,Assumptions!$F$52,Assumptions!$F$53)</f>
        <v>0.6</v>
      </c>
      <c r="AY22" s="23" t="n">
        <f aca="false">CHOOSE(MOD(AY$3-1,12)+1,Assumptions!$F$42,Assumptions!$F$43,Assumptions!$F$44,Assumptions!$F$45,Assumptions!$F$46,Assumptions!$F$47,Assumptions!$F$48,Assumptions!$F$49,Assumptions!$F$50,Assumptions!$F$51,Assumptions!$F$52,Assumptions!$F$53)</f>
        <v>0.6</v>
      </c>
      <c r="AZ22" s="23" t="n">
        <f aca="false">CHOOSE(MOD(AZ$3-1,12)+1,Assumptions!$F$42,Assumptions!$F$43,Assumptions!$F$44,Assumptions!$F$45,Assumptions!$F$46,Assumptions!$F$47,Assumptions!$F$48,Assumptions!$F$49,Assumptions!$F$50,Assumptions!$F$51,Assumptions!$F$52,Assumptions!$F$53)</f>
        <v>0.6</v>
      </c>
      <c r="BA22" s="23" t="n">
        <f aca="false">CHOOSE(MOD(BA$3-1,12)+1,Assumptions!$F$42,Assumptions!$F$43,Assumptions!$F$44,Assumptions!$F$45,Assumptions!$F$46,Assumptions!$F$47,Assumptions!$F$48,Assumptions!$F$49,Assumptions!$F$50,Assumptions!$F$51,Assumptions!$F$52,Assumptions!$F$53)</f>
        <v>0.7</v>
      </c>
      <c r="BB22" s="23" t="n">
        <f aca="false">CHOOSE(MOD(BB$3-1,12)+1,Assumptions!$F$42,Assumptions!$F$43,Assumptions!$F$44,Assumptions!$F$45,Assumptions!$F$46,Assumptions!$F$47,Assumptions!$F$48,Assumptions!$F$49,Assumptions!$F$50,Assumptions!$F$51,Assumptions!$F$52,Assumptions!$F$53)</f>
        <v>0.8</v>
      </c>
      <c r="BC22" s="23" t="n">
        <f aca="false">CHOOSE(MOD(BC$3-1,12)+1,Assumptions!$F$42,Assumptions!$F$43,Assumptions!$F$44,Assumptions!$F$45,Assumptions!$F$46,Assumptions!$F$47,Assumptions!$F$48,Assumptions!$F$49,Assumptions!$F$50,Assumptions!$F$51,Assumptions!$F$52,Assumptions!$F$53)</f>
        <v>1.2</v>
      </c>
      <c r="BD22" s="23" t="n">
        <f aca="false">CHOOSE(MOD(BD$3-1,12)+1,Assumptions!$F$42,Assumptions!$F$43,Assumptions!$F$44,Assumptions!$F$45,Assumptions!$F$46,Assumptions!$F$47,Assumptions!$F$48,Assumptions!$F$49,Assumptions!$F$50,Assumptions!$F$51,Assumptions!$F$52,Assumptions!$F$53)</f>
        <v>1.5</v>
      </c>
      <c r="BE22" s="23" t="n">
        <f aca="false">CHOOSE(MOD(BE$3-1,12)+1,Assumptions!$F$42,Assumptions!$F$43,Assumptions!$F$44,Assumptions!$F$45,Assumptions!$F$46,Assumptions!$F$47,Assumptions!$F$48,Assumptions!$F$49,Assumptions!$F$50,Assumptions!$F$51,Assumptions!$F$52,Assumptions!$F$53)</f>
        <v>1.6</v>
      </c>
      <c r="BF22" s="23" t="n">
        <f aca="false">CHOOSE(MOD(BF$3-1,12)+1,Assumptions!$F$42,Assumptions!$F$43,Assumptions!$F$44,Assumptions!$F$45,Assumptions!$F$46,Assumptions!$F$47,Assumptions!$F$48,Assumptions!$F$49,Assumptions!$F$50,Assumptions!$F$51,Assumptions!$F$52,Assumptions!$F$53)</f>
        <v>1.4</v>
      </c>
      <c r="BG22" s="23" t="n">
        <f aca="false">CHOOSE(MOD(BG$3-1,12)+1,Assumptions!$F$42,Assumptions!$F$43,Assumptions!$F$44,Assumptions!$F$45,Assumptions!$F$46,Assumptions!$F$47,Assumptions!$F$48,Assumptions!$F$49,Assumptions!$F$50,Assumptions!$F$51,Assumptions!$F$52,Assumptions!$F$53)</f>
        <v>1.3</v>
      </c>
      <c r="BH22" s="23" t="n">
        <f aca="false">CHOOSE(MOD(BH$3-1,12)+1,Assumptions!$F$42,Assumptions!$F$43,Assumptions!$F$44,Assumptions!$F$45,Assumptions!$F$46,Assumptions!$F$47,Assumptions!$F$48,Assumptions!$F$49,Assumptions!$F$50,Assumptions!$F$51,Assumptions!$F$52,Assumptions!$F$53)</f>
        <v>1</v>
      </c>
      <c r="BI22" s="23" t="n">
        <f aca="false">CHOOSE(MOD(BI$3-1,12)+1,Assumptions!$F$42,Assumptions!$F$43,Assumptions!$F$44,Assumptions!$F$45,Assumptions!$F$46,Assumptions!$F$47,Assumptions!$F$48,Assumptions!$F$49,Assumptions!$F$50,Assumptions!$F$51,Assumptions!$F$52,Assumptions!$F$53)</f>
        <v>0.7</v>
      </c>
      <c r="BJ22" s="23" t="n">
        <f aca="false">CHOOSE(MOD(BJ$3-1,12)+1,Assumptions!$F$42,Assumptions!$F$43,Assumptions!$F$44,Assumptions!$F$45,Assumptions!$F$46,Assumptions!$F$47,Assumptions!$F$48,Assumptions!$F$49,Assumptions!$F$50,Assumptions!$F$51,Assumptions!$F$52,Assumptions!$F$53)</f>
        <v>0.6</v>
      </c>
    </row>
    <row r="23" customFormat="false" ht="15" hidden="false" customHeight="false" outlineLevel="0" collapsed="false">
      <c r="A23" s="9" t="s">
        <v>198</v>
      </c>
      <c r="B23" s="9"/>
      <c r="C23" s="25" t="n">
        <f aca="false">IF(C$4=1,Assumptions!$F$34,IF(C$4=2,Assumptions!$F$35,1))</f>
        <v>0.4</v>
      </c>
      <c r="D23" s="25" t="n">
        <f aca="false">IF(D$4=1,Assumptions!$F$34,IF(D$4=2,Assumptions!$F$35,1))</f>
        <v>0.4</v>
      </c>
      <c r="E23" s="25" t="n">
        <f aca="false">IF(E$4=1,Assumptions!$F$34,IF(E$4=2,Assumptions!$F$35,1))</f>
        <v>0.4</v>
      </c>
      <c r="F23" s="25" t="n">
        <f aca="false">IF(F$4=1,Assumptions!$F$34,IF(F$4=2,Assumptions!$F$35,1))</f>
        <v>0.4</v>
      </c>
      <c r="G23" s="25" t="n">
        <f aca="false">IF(G$4=1,Assumptions!$F$34,IF(G$4=2,Assumptions!$F$35,1))</f>
        <v>0.4</v>
      </c>
      <c r="H23" s="25" t="n">
        <f aca="false">IF(H$4=1,Assumptions!$F$34,IF(H$4=2,Assumptions!$F$35,1))</f>
        <v>0.4</v>
      </c>
      <c r="I23" s="25" t="n">
        <f aca="false">IF(I$4=1,Assumptions!$F$34,IF(I$4=2,Assumptions!$F$35,1))</f>
        <v>0.4</v>
      </c>
      <c r="J23" s="25" t="n">
        <f aca="false">IF(J$4=1,Assumptions!$F$34,IF(J$4=2,Assumptions!$F$35,1))</f>
        <v>0.4</v>
      </c>
      <c r="K23" s="25" t="n">
        <f aca="false">IF(K$4=1,Assumptions!$F$34,IF(K$4=2,Assumptions!$F$35,1))</f>
        <v>0.4</v>
      </c>
      <c r="L23" s="25" t="n">
        <f aca="false">IF(L$4=1,Assumptions!$F$34,IF(L$4=2,Assumptions!$F$35,1))</f>
        <v>0.4</v>
      </c>
      <c r="M23" s="25" t="n">
        <f aca="false">IF(M$4=1,Assumptions!$F$34,IF(M$4=2,Assumptions!$F$35,1))</f>
        <v>0.4</v>
      </c>
      <c r="N23" s="25" t="n">
        <f aca="false">IF(N$4=1,Assumptions!$F$34,IF(N$4=2,Assumptions!$F$35,1))</f>
        <v>0.4</v>
      </c>
      <c r="O23" s="25" t="n">
        <f aca="false">IF(O$4=1,Assumptions!$F$34,IF(O$4=2,Assumptions!$F$35,1))</f>
        <v>0.7</v>
      </c>
      <c r="P23" s="25" t="n">
        <f aca="false">IF(P$4=1,Assumptions!$F$34,IF(P$4=2,Assumptions!$F$35,1))</f>
        <v>0.7</v>
      </c>
      <c r="Q23" s="25" t="n">
        <f aca="false">IF(Q$4=1,Assumptions!$F$34,IF(Q$4=2,Assumptions!$F$35,1))</f>
        <v>0.7</v>
      </c>
      <c r="R23" s="25" t="n">
        <f aca="false">IF(R$4=1,Assumptions!$F$34,IF(R$4=2,Assumptions!$F$35,1))</f>
        <v>0.7</v>
      </c>
      <c r="S23" s="25" t="n">
        <f aca="false">IF(S$4=1,Assumptions!$F$34,IF(S$4=2,Assumptions!$F$35,1))</f>
        <v>0.7</v>
      </c>
      <c r="T23" s="25" t="n">
        <f aca="false">IF(T$4=1,Assumptions!$F$34,IF(T$4=2,Assumptions!$F$35,1))</f>
        <v>0.7</v>
      </c>
      <c r="U23" s="25" t="n">
        <f aca="false">IF(U$4=1,Assumptions!$F$34,IF(U$4=2,Assumptions!$F$35,1))</f>
        <v>0.7</v>
      </c>
      <c r="V23" s="25" t="n">
        <f aca="false">IF(V$4=1,Assumptions!$F$34,IF(V$4=2,Assumptions!$F$35,1))</f>
        <v>0.7</v>
      </c>
      <c r="W23" s="25" t="n">
        <f aca="false">IF(W$4=1,Assumptions!$F$34,IF(W$4=2,Assumptions!$F$35,1))</f>
        <v>0.7</v>
      </c>
      <c r="X23" s="25" t="n">
        <f aca="false">IF(X$4=1,Assumptions!$F$34,IF(X$4=2,Assumptions!$F$35,1))</f>
        <v>0.7</v>
      </c>
      <c r="Y23" s="25" t="n">
        <f aca="false">IF(Y$4=1,Assumptions!$F$34,IF(Y$4=2,Assumptions!$F$35,1))</f>
        <v>0.7</v>
      </c>
      <c r="Z23" s="25" t="n">
        <f aca="false">IF(Z$4=1,Assumptions!$F$34,IF(Z$4=2,Assumptions!$F$35,1))</f>
        <v>0.7</v>
      </c>
      <c r="AA23" s="25" t="n">
        <f aca="false">IF(AA$4=1,Assumptions!$F$34,IF(AA$4=2,Assumptions!$F$35,1))</f>
        <v>1</v>
      </c>
      <c r="AB23" s="25" t="n">
        <f aca="false">IF(AB$4=1,Assumptions!$F$34,IF(AB$4=2,Assumptions!$F$35,1))</f>
        <v>1</v>
      </c>
      <c r="AC23" s="25" t="n">
        <f aca="false">IF(AC$4=1,Assumptions!$F$34,IF(AC$4=2,Assumptions!$F$35,1))</f>
        <v>1</v>
      </c>
      <c r="AD23" s="25" t="n">
        <f aca="false">IF(AD$4=1,Assumptions!$F$34,IF(AD$4=2,Assumptions!$F$35,1))</f>
        <v>1</v>
      </c>
      <c r="AE23" s="25" t="n">
        <f aca="false">IF(AE$4=1,Assumptions!$F$34,IF(AE$4=2,Assumptions!$F$35,1))</f>
        <v>1</v>
      </c>
      <c r="AF23" s="25" t="n">
        <f aca="false">IF(AF$4=1,Assumptions!$F$34,IF(AF$4=2,Assumptions!$F$35,1))</f>
        <v>1</v>
      </c>
      <c r="AG23" s="25" t="n">
        <f aca="false">IF(AG$4=1,Assumptions!$F$34,IF(AG$4=2,Assumptions!$F$35,1))</f>
        <v>1</v>
      </c>
      <c r="AH23" s="25" t="n">
        <f aca="false">IF(AH$4=1,Assumptions!$F$34,IF(AH$4=2,Assumptions!$F$35,1))</f>
        <v>1</v>
      </c>
      <c r="AI23" s="25" t="n">
        <f aca="false">IF(AI$4=1,Assumptions!$F$34,IF(AI$4=2,Assumptions!$F$35,1))</f>
        <v>1</v>
      </c>
      <c r="AJ23" s="25" t="n">
        <f aca="false">IF(AJ$4=1,Assumptions!$F$34,IF(AJ$4=2,Assumptions!$F$35,1))</f>
        <v>1</v>
      </c>
      <c r="AK23" s="25" t="n">
        <f aca="false">IF(AK$4=1,Assumptions!$F$34,IF(AK$4=2,Assumptions!$F$35,1))</f>
        <v>1</v>
      </c>
      <c r="AL23" s="25" t="n">
        <f aca="false">IF(AL$4=1,Assumptions!$F$34,IF(AL$4=2,Assumptions!$F$35,1))</f>
        <v>1</v>
      </c>
      <c r="AM23" s="25" t="n">
        <f aca="false">IF(AM$4=1,Assumptions!$F$34,IF(AM$4=2,Assumptions!$F$35,1))</f>
        <v>1</v>
      </c>
      <c r="AN23" s="25" t="n">
        <f aca="false">IF(AN$4=1,Assumptions!$F$34,IF(AN$4=2,Assumptions!$F$35,1))</f>
        <v>1</v>
      </c>
      <c r="AO23" s="25" t="n">
        <f aca="false">IF(AO$4=1,Assumptions!$F$34,IF(AO$4=2,Assumptions!$F$35,1))</f>
        <v>1</v>
      </c>
      <c r="AP23" s="25" t="n">
        <f aca="false">IF(AP$4=1,Assumptions!$F$34,IF(AP$4=2,Assumptions!$F$35,1))</f>
        <v>1</v>
      </c>
      <c r="AQ23" s="25" t="n">
        <f aca="false">IF(AQ$4=1,Assumptions!$F$34,IF(AQ$4=2,Assumptions!$F$35,1))</f>
        <v>1</v>
      </c>
      <c r="AR23" s="25" t="n">
        <f aca="false">IF(AR$4=1,Assumptions!$F$34,IF(AR$4=2,Assumptions!$F$35,1))</f>
        <v>1</v>
      </c>
      <c r="AS23" s="25" t="n">
        <f aca="false">IF(AS$4=1,Assumptions!$F$34,IF(AS$4=2,Assumptions!$F$35,1))</f>
        <v>1</v>
      </c>
      <c r="AT23" s="25" t="n">
        <f aca="false">IF(AT$4=1,Assumptions!$F$34,IF(AT$4=2,Assumptions!$F$35,1))</f>
        <v>1</v>
      </c>
      <c r="AU23" s="25" t="n">
        <f aca="false">IF(AU$4=1,Assumptions!$F$34,IF(AU$4=2,Assumptions!$F$35,1))</f>
        <v>1</v>
      </c>
      <c r="AV23" s="25" t="n">
        <f aca="false">IF(AV$4=1,Assumptions!$F$34,IF(AV$4=2,Assumptions!$F$35,1))</f>
        <v>1</v>
      </c>
      <c r="AW23" s="25" t="n">
        <f aca="false">IF(AW$4=1,Assumptions!$F$34,IF(AW$4=2,Assumptions!$F$35,1))</f>
        <v>1</v>
      </c>
      <c r="AX23" s="25" t="n">
        <f aca="false">IF(AX$4=1,Assumptions!$F$34,IF(AX$4=2,Assumptions!$F$35,1))</f>
        <v>1</v>
      </c>
      <c r="AY23" s="25" t="n">
        <f aca="false">IF(AY$4=1,Assumptions!$F$34,IF(AY$4=2,Assumptions!$F$35,1))</f>
        <v>1</v>
      </c>
      <c r="AZ23" s="25" t="n">
        <f aca="false">IF(AZ$4=1,Assumptions!$F$34,IF(AZ$4=2,Assumptions!$F$35,1))</f>
        <v>1</v>
      </c>
      <c r="BA23" s="25" t="n">
        <f aca="false">IF(BA$4=1,Assumptions!$F$34,IF(BA$4=2,Assumptions!$F$35,1))</f>
        <v>1</v>
      </c>
      <c r="BB23" s="25" t="n">
        <f aca="false">IF(BB$4=1,Assumptions!$F$34,IF(BB$4=2,Assumptions!$F$35,1))</f>
        <v>1</v>
      </c>
      <c r="BC23" s="25" t="n">
        <f aca="false">IF(BC$4=1,Assumptions!$F$34,IF(BC$4=2,Assumptions!$F$35,1))</f>
        <v>1</v>
      </c>
      <c r="BD23" s="25" t="n">
        <f aca="false">IF(BD$4=1,Assumptions!$F$34,IF(BD$4=2,Assumptions!$F$35,1))</f>
        <v>1</v>
      </c>
      <c r="BE23" s="25" t="n">
        <f aca="false">IF(BE$4=1,Assumptions!$F$34,IF(BE$4=2,Assumptions!$F$35,1))</f>
        <v>1</v>
      </c>
      <c r="BF23" s="25" t="n">
        <f aca="false">IF(BF$4=1,Assumptions!$F$34,IF(BF$4=2,Assumptions!$F$35,1))</f>
        <v>1</v>
      </c>
      <c r="BG23" s="25" t="n">
        <f aca="false">IF(BG$4=1,Assumptions!$F$34,IF(BG$4=2,Assumptions!$F$35,1))</f>
        <v>1</v>
      </c>
      <c r="BH23" s="25" t="n">
        <f aca="false">IF(BH$4=1,Assumptions!$F$34,IF(BH$4=2,Assumptions!$F$35,1))</f>
        <v>1</v>
      </c>
      <c r="BI23" s="25" t="n">
        <f aca="false">IF(BI$4=1,Assumptions!$F$34,IF(BI$4=2,Assumptions!$F$35,1))</f>
        <v>1</v>
      </c>
      <c r="BJ23" s="25" t="n">
        <f aca="false">IF(BJ$4=1,Assumptions!$F$34,IF(BJ$4=2,Assumptions!$F$35,1))</f>
        <v>1</v>
      </c>
    </row>
    <row r="24" customFormat="false" ht="15" hidden="false" customHeight="false" outlineLevel="0" collapsed="false">
      <c r="A24" s="9" t="s">
        <v>199</v>
      </c>
      <c r="B24" s="9"/>
      <c r="C24" s="26" t="n">
        <f aca="false">Assumptions!$F$33*1000/12*C22*C23</f>
        <v>440</v>
      </c>
      <c r="D24" s="26" t="n">
        <f aca="false">Assumptions!$F$33*1000/12*D22*D23</f>
        <v>440</v>
      </c>
      <c r="E24" s="26" t="n">
        <f aca="false">Assumptions!$F$33*1000/12*E22*E23</f>
        <v>513.333333333333</v>
      </c>
      <c r="F24" s="26" t="n">
        <f aca="false">Assumptions!$F$33*1000/12*F22*F23</f>
        <v>586.666666666667</v>
      </c>
      <c r="G24" s="26" t="n">
        <f aca="false">Assumptions!$F$33*1000/12*G22*G23</f>
        <v>880</v>
      </c>
      <c r="H24" s="26" t="n">
        <f aca="false">Assumptions!$F$33*1000/12*H22*H23</f>
        <v>1100</v>
      </c>
      <c r="I24" s="26" t="n">
        <f aca="false">Assumptions!$F$33*1000/12*I22*I23</f>
        <v>1173.33333333333</v>
      </c>
      <c r="J24" s="26" t="n">
        <f aca="false">Assumptions!$F$33*1000/12*J22*J23</f>
        <v>1026.66666666667</v>
      </c>
      <c r="K24" s="26" t="n">
        <f aca="false">Assumptions!$F$33*1000/12*K22*K23</f>
        <v>953.333333333334</v>
      </c>
      <c r="L24" s="26" t="n">
        <f aca="false">Assumptions!$F$33*1000/12*L22*L23</f>
        <v>733.333333333333</v>
      </c>
      <c r="M24" s="26" t="n">
        <f aca="false">Assumptions!$F$33*1000/12*M22*M23</f>
        <v>513.333333333333</v>
      </c>
      <c r="N24" s="26" t="n">
        <f aca="false">Assumptions!$F$33*1000/12*N22*N23</f>
        <v>440</v>
      </c>
      <c r="O24" s="26" t="n">
        <f aca="false">Assumptions!$F$33*1000/12*O22*O23</f>
        <v>770</v>
      </c>
      <c r="P24" s="26" t="n">
        <f aca="false">Assumptions!$F$33*1000/12*P22*P23</f>
        <v>770</v>
      </c>
      <c r="Q24" s="26" t="n">
        <f aca="false">Assumptions!$F$33*1000/12*Q22*Q23</f>
        <v>898.333333333333</v>
      </c>
      <c r="R24" s="26" t="n">
        <f aca="false">Assumptions!$F$33*1000/12*R22*R23</f>
        <v>1026.66666666667</v>
      </c>
      <c r="S24" s="26" t="n">
        <f aca="false">Assumptions!$F$33*1000/12*S22*S23</f>
        <v>1540</v>
      </c>
      <c r="T24" s="26" t="n">
        <f aca="false">Assumptions!$F$33*1000/12*T22*T23</f>
        <v>1925</v>
      </c>
      <c r="U24" s="26" t="n">
        <f aca="false">Assumptions!$F$33*1000/12*U22*U23</f>
        <v>2053.33333333333</v>
      </c>
      <c r="V24" s="26" t="n">
        <f aca="false">Assumptions!$F$33*1000/12*V22*V23</f>
        <v>1796.66666666667</v>
      </c>
      <c r="W24" s="26" t="n">
        <f aca="false">Assumptions!$F$33*1000/12*W22*W23</f>
        <v>1668.33333333333</v>
      </c>
      <c r="X24" s="26" t="n">
        <f aca="false">Assumptions!$F$33*1000/12*X22*X23</f>
        <v>1283.33333333333</v>
      </c>
      <c r="Y24" s="26" t="n">
        <f aca="false">Assumptions!$F$33*1000/12*Y22*Y23</f>
        <v>898.333333333333</v>
      </c>
      <c r="Z24" s="26" t="n">
        <f aca="false">Assumptions!$F$33*1000/12*Z22*Z23</f>
        <v>770</v>
      </c>
      <c r="AA24" s="26" t="n">
        <f aca="false">Assumptions!$F$33*1000/12*AA22*AA23</f>
        <v>1100</v>
      </c>
      <c r="AB24" s="26" t="n">
        <f aca="false">Assumptions!$F$33*1000/12*AB22*AB23</f>
        <v>1100</v>
      </c>
      <c r="AC24" s="26" t="n">
        <f aca="false">Assumptions!$F$33*1000/12*AC22*AC23</f>
        <v>1283.33333333333</v>
      </c>
      <c r="AD24" s="26" t="n">
        <f aca="false">Assumptions!$F$33*1000/12*AD22*AD23</f>
        <v>1466.66666666667</v>
      </c>
      <c r="AE24" s="26" t="n">
        <f aca="false">Assumptions!$F$33*1000/12*AE22*AE23</f>
        <v>2200</v>
      </c>
      <c r="AF24" s="26" t="n">
        <f aca="false">Assumptions!$F$33*1000/12*AF22*AF23</f>
        <v>2750</v>
      </c>
      <c r="AG24" s="26" t="n">
        <f aca="false">Assumptions!$F$33*1000/12*AG22*AG23</f>
        <v>2933.33333333333</v>
      </c>
      <c r="AH24" s="26" t="n">
        <f aca="false">Assumptions!$F$33*1000/12*AH22*AH23</f>
        <v>2566.66666666667</v>
      </c>
      <c r="AI24" s="26" t="n">
        <f aca="false">Assumptions!$F$33*1000/12*AI22*AI23</f>
        <v>2383.33333333333</v>
      </c>
      <c r="AJ24" s="26" t="n">
        <f aca="false">Assumptions!$F$33*1000/12*AJ22*AJ23</f>
        <v>1833.33333333333</v>
      </c>
      <c r="AK24" s="26" t="n">
        <f aca="false">Assumptions!$F$33*1000/12*AK22*AK23</f>
        <v>1283.33333333333</v>
      </c>
      <c r="AL24" s="26" t="n">
        <f aca="false">Assumptions!$F$33*1000/12*AL22*AL23</f>
        <v>1100</v>
      </c>
      <c r="AM24" s="26" t="n">
        <f aca="false">Assumptions!$F$33*1000/12*AM22*AM23</f>
        <v>1100</v>
      </c>
      <c r="AN24" s="26" t="n">
        <f aca="false">Assumptions!$F$33*1000/12*AN22*AN23</f>
        <v>1100</v>
      </c>
      <c r="AO24" s="26" t="n">
        <f aca="false">Assumptions!$F$33*1000/12*AO22*AO23</f>
        <v>1283.33333333333</v>
      </c>
      <c r="AP24" s="26" t="n">
        <f aca="false">Assumptions!$F$33*1000/12*AP22*AP23</f>
        <v>1466.66666666667</v>
      </c>
      <c r="AQ24" s="26" t="n">
        <f aca="false">Assumptions!$F$33*1000/12*AQ22*AQ23</f>
        <v>2200</v>
      </c>
      <c r="AR24" s="26" t="n">
        <f aca="false">Assumptions!$F$33*1000/12*AR22*AR23</f>
        <v>2750</v>
      </c>
      <c r="AS24" s="26" t="n">
        <f aca="false">Assumptions!$F$33*1000/12*AS22*AS23</f>
        <v>2933.33333333333</v>
      </c>
      <c r="AT24" s="26" t="n">
        <f aca="false">Assumptions!$F$33*1000/12*AT22*AT23</f>
        <v>2566.66666666667</v>
      </c>
      <c r="AU24" s="26" t="n">
        <f aca="false">Assumptions!$F$33*1000/12*AU22*AU23</f>
        <v>2383.33333333333</v>
      </c>
      <c r="AV24" s="26" t="n">
        <f aca="false">Assumptions!$F$33*1000/12*AV22*AV23</f>
        <v>1833.33333333333</v>
      </c>
      <c r="AW24" s="26" t="n">
        <f aca="false">Assumptions!$F$33*1000/12*AW22*AW23</f>
        <v>1283.33333333333</v>
      </c>
      <c r="AX24" s="26" t="n">
        <f aca="false">Assumptions!$F$33*1000/12*AX22*AX23</f>
        <v>1100</v>
      </c>
      <c r="AY24" s="26" t="n">
        <f aca="false">Assumptions!$F$33*1000/12*AY22*AY23</f>
        <v>1100</v>
      </c>
      <c r="AZ24" s="26" t="n">
        <f aca="false">Assumptions!$F$33*1000/12*AZ22*AZ23</f>
        <v>1100</v>
      </c>
      <c r="BA24" s="26" t="n">
        <f aca="false">Assumptions!$F$33*1000/12*BA22*BA23</f>
        <v>1283.33333333333</v>
      </c>
      <c r="BB24" s="26" t="n">
        <f aca="false">Assumptions!$F$33*1000/12*BB22*BB23</f>
        <v>1466.66666666667</v>
      </c>
      <c r="BC24" s="26" t="n">
        <f aca="false">Assumptions!$F$33*1000/12*BC22*BC23</f>
        <v>2200</v>
      </c>
      <c r="BD24" s="26" t="n">
        <f aca="false">Assumptions!$F$33*1000/12*BD22*BD23</f>
        <v>2750</v>
      </c>
      <c r="BE24" s="26" t="n">
        <f aca="false">Assumptions!$F$33*1000/12*BE22*BE23</f>
        <v>2933.33333333333</v>
      </c>
      <c r="BF24" s="26" t="n">
        <f aca="false">Assumptions!$F$33*1000/12*BF22*BF23</f>
        <v>2566.66666666667</v>
      </c>
      <c r="BG24" s="26" t="n">
        <f aca="false">Assumptions!$F$33*1000/12*BG22*BG23</f>
        <v>2383.33333333333</v>
      </c>
      <c r="BH24" s="26" t="n">
        <f aca="false">Assumptions!$F$33*1000/12*BH22*BH23</f>
        <v>1833.33333333333</v>
      </c>
      <c r="BI24" s="26" t="n">
        <f aca="false">Assumptions!$F$33*1000/12*BI22*BI23</f>
        <v>1283.33333333333</v>
      </c>
      <c r="BJ24" s="26" t="n">
        <f aca="false">Assumptions!$F$33*1000/12*BJ22*BJ23</f>
        <v>1100</v>
      </c>
    </row>
    <row r="25" customFormat="false" ht="15" hidden="false" customHeight="false" outlineLevel="0" collapsed="false">
      <c r="A25" s="3" t="s">
        <v>200</v>
      </c>
      <c r="B25" s="9"/>
      <c r="C25" s="14" t="n">
        <f aca="false">MIN(C21,C24)</f>
        <v>0</v>
      </c>
      <c r="D25" s="14" t="n">
        <f aca="false">MIN(C26+D21,D24)</f>
        <v>0</v>
      </c>
      <c r="E25" s="14" t="n">
        <f aca="false">MIN(D26+E21,E24)</f>
        <v>0</v>
      </c>
      <c r="F25" s="14" t="n">
        <f aca="false">MIN(E26+F21,F24)</f>
        <v>0</v>
      </c>
      <c r="G25" s="14" t="n">
        <f aca="false">MIN(F26+G21,G24)</f>
        <v>0</v>
      </c>
      <c r="H25" s="14" t="n">
        <f aca="false">MIN(G26+H21,H24)</f>
        <v>0</v>
      </c>
      <c r="I25" s="14" t="n">
        <f aca="false">MIN(H26+I21,I24)</f>
        <v>0</v>
      </c>
      <c r="J25" s="14" t="n">
        <f aca="false">MIN(I26+J21,J24)</f>
        <v>520</v>
      </c>
      <c r="K25" s="14" t="n">
        <f aca="false">MIN(J26+K21,K24)</f>
        <v>520</v>
      </c>
      <c r="L25" s="14" t="n">
        <f aca="false">MIN(K26+L21,L24)</f>
        <v>520</v>
      </c>
      <c r="M25" s="14" t="n">
        <f aca="false">MIN(L26+M21,M24)</f>
        <v>513.333333333333</v>
      </c>
      <c r="N25" s="14" t="n">
        <f aca="false">MIN(M26+N21,N24)</f>
        <v>440</v>
      </c>
      <c r="O25" s="14" t="n">
        <f aca="false">MIN(N26+O21,O24)</f>
        <v>606.666666666667</v>
      </c>
      <c r="P25" s="14" t="n">
        <f aca="false">MIN(O26+P21,P24)</f>
        <v>770</v>
      </c>
      <c r="Q25" s="14" t="n">
        <f aca="false">MIN(P26+Q21,Q24)</f>
        <v>898.333333333333</v>
      </c>
      <c r="R25" s="14" t="n">
        <f aca="false">MIN(Q26+R21,R24)</f>
        <v>983.666666666667</v>
      </c>
      <c r="S25" s="14" t="n">
        <f aca="false">MIN(R26+S21,S24)</f>
        <v>884</v>
      </c>
      <c r="T25" s="14" t="n">
        <f aca="false">MIN(S26+T21,T24)</f>
        <v>884</v>
      </c>
      <c r="U25" s="14" t="n">
        <f aca="false">MIN(T26+U21,U24)</f>
        <v>884</v>
      </c>
      <c r="V25" s="14" t="n">
        <f aca="false">MIN(U26+V21,V24)</f>
        <v>1404</v>
      </c>
      <c r="W25" s="14" t="n">
        <f aca="false">MIN(V26+W21,W24)</f>
        <v>1404</v>
      </c>
      <c r="X25" s="14" t="n">
        <f aca="false">MIN(W26+X21,X24)</f>
        <v>1283.33333333333</v>
      </c>
      <c r="Y25" s="14" t="n">
        <f aca="false">MIN(X26+Y21,Y24)</f>
        <v>898.333333333333</v>
      </c>
      <c r="Z25" s="14" t="n">
        <f aca="false">MIN(Y26+Z21,Z24)</f>
        <v>770</v>
      </c>
      <c r="AA25" s="14" t="n">
        <f aca="false">MIN(Z26+AA21,AA24)</f>
        <v>1100</v>
      </c>
      <c r="AB25" s="14" t="n">
        <f aca="false">MIN(AA26+AB21,AB24)</f>
        <v>1100</v>
      </c>
      <c r="AC25" s="14" t="n">
        <f aca="false">MIN(AB26+AC21,AC24)</f>
        <v>1283.33333333333</v>
      </c>
      <c r="AD25" s="14" t="n">
        <f aca="false">MIN(AC26+AD21,AD24)</f>
        <v>1466.66666666667</v>
      </c>
      <c r="AE25" s="14" t="n">
        <f aca="false">MIN(AD26+AE21,AE24)</f>
        <v>2200</v>
      </c>
      <c r="AF25" s="14" t="n">
        <f aca="false">MIN(AE26+AF21,AF24)</f>
        <v>2750</v>
      </c>
      <c r="AG25" s="14" t="n">
        <f aca="false">MIN(AF26+AG21,AG24)</f>
        <v>2933.33333333333</v>
      </c>
      <c r="AH25" s="14" t="n">
        <f aca="false">MIN(AG26+AH21,AH24)</f>
        <v>2207</v>
      </c>
      <c r="AI25" s="14" t="n">
        <f aca="false">MIN(AH26+AI21,AI24)</f>
        <v>1768</v>
      </c>
      <c r="AJ25" s="14" t="n">
        <f aca="false">MIN(AI26+AJ21,AJ24)</f>
        <v>1768</v>
      </c>
      <c r="AK25" s="14" t="n">
        <f aca="false">MIN(AJ26+AK21,AK24)</f>
        <v>1283.33333333333</v>
      </c>
      <c r="AL25" s="14" t="n">
        <f aca="false">MIN(AK26+AL21,AL24)</f>
        <v>1100</v>
      </c>
      <c r="AM25" s="14" t="n">
        <f aca="false">MIN(AL26+AM21,AM24)</f>
        <v>1100</v>
      </c>
      <c r="AN25" s="14" t="n">
        <f aca="false">MIN(AM26+AN21,AN24)</f>
        <v>1100</v>
      </c>
      <c r="AO25" s="14" t="n">
        <f aca="false">MIN(AN26+AO21,AO24)</f>
        <v>1283.33333333333</v>
      </c>
      <c r="AP25" s="14" t="n">
        <f aca="false">MIN(AO26+AP21,AP24)</f>
        <v>1466.66666666667</v>
      </c>
      <c r="AQ25" s="14" t="n">
        <f aca="false">MIN(AP26+AQ21,AQ24)</f>
        <v>2200</v>
      </c>
      <c r="AR25" s="14" t="n">
        <f aca="false">MIN(AQ26+AR21,AR24)</f>
        <v>2750</v>
      </c>
      <c r="AS25" s="14" t="n">
        <f aca="false">MIN(AR26+AS21,AS24)</f>
        <v>2933.33333333333</v>
      </c>
      <c r="AT25" s="14" t="n">
        <f aca="false">MIN(AS26+AT21,AT24)</f>
        <v>2463.33333333333</v>
      </c>
      <c r="AU25" s="14" t="n">
        <f aca="false">MIN(AT26+AU21,AU24)</f>
        <v>1768</v>
      </c>
      <c r="AV25" s="14" t="n">
        <f aca="false">MIN(AU26+AV21,AV24)</f>
        <v>1768</v>
      </c>
      <c r="AW25" s="14" t="n">
        <f aca="false">MIN(AV26+AW21,AW24)</f>
        <v>1283.33333333333</v>
      </c>
      <c r="AX25" s="14" t="n">
        <f aca="false">MIN(AW26+AX21,AX24)</f>
        <v>1100</v>
      </c>
      <c r="AY25" s="14" t="n">
        <f aca="false">MIN(AX26+AY21,AY24)</f>
        <v>1100</v>
      </c>
      <c r="AZ25" s="14" t="n">
        <f aca="false">MIN(AY26+AZ21,AZ24)</f>
        <v>1100</v>
      </c>
      <c r="BA25" s="14" t="n">
        <f aca="false">MIN(AZ26+BA21,BA24)</f>
        <v>1283.33333333333</v>
      </c>
      <c r="BB25" s="14" t="n">
        <f aca="false">MIN(BA26+BB21,BB24)</f>
        <v>1466.66666666667</v>
      </c>
      <c r="BC25" s="14" t="n">
        <f aca="false">MIN(BB26+BC21,BC24)</f>
        <v>2200</v>
      </c>
      <c r="BD25" s="14" t="n">
        <f aca="false">MIN(BC26+BD21,BD24)</f>
        <v>2750</v>
      </c>
      <c r="BE25" s="14" t="n">
        <f aca="false">MIN(BD26+BE21,BE24)</f>
        <v>2933.33333333333</v>
      </c>
      <c r="BF25" s="14" t="n">
        <f aca="false">MIN(BE26+BF21,BF24)</f>
        <v>2463.33333333333</v>
      </c>
      <c r="BG25" s="14" t="n">
        <f aca="false">MIN(BF26+BG21,BG24)</f>
        <v>1768</v>
      </c>
      <c r="BH25" s="14" t="n">
        <f aca="false">MIN(BG26+BH21,BH24)</f>
        <v>1768</v>
      </c>
      <c r="BI25" s="14" t="n">
        <f aca="false">MIN(BH26+BI21,BI24)</f>
        <v>1283.33333333333</v>
      </c>
      <c r="BJ25" s="14" t="n">
        <f aca="false">MIN(BI26+BJ21,BJ24)</f>
        <v>1100</v>
      </c>
    </row>
    <row r="26" customFormat="false" ht="15" hidden="false" customHeight="false" outlineLevel="0" collapsed="false">
      <c r="A26" s="9" t="s">
        <v>201</v>
      </c>
      <c r="B26" s="9"/>
      <c r="C26" s="26" t="n">
        <f aca="false">C21-C25</f>
        <v>0</v>
      </c>
      <c r="D26" s="26" t="n">
        <f aca="false">C26+D21-D25</f>
        <v>0</v>
      </c>
      <c r="E26" s="26" t="n">
        <f aca="false">D26+E21-E25</f>
        <v>0</v>
      </c>
      <c r="F26" s="26" t="n">
        <f aca="false">E26+F21-F25</f>
        <v>0</v>
      </c>
      <c r="G26" s="26" t="n">
        <f aca="false">F26+G21-G25</f>
        <v>0</v>
      </c>
      <c r="H26" s="26" t="n">
        <f aca="false">G26+H21-H25</f>
        <v>0</v>
      </c>
      <c r="I26" s="26" t="n">
        <f aca="false">H26+I21-I25</f>
        <v>0</v>
      </c>
      <c r="J26" s="26" t="n">
        <f aca="false">I26+J21-J25</f>
        <v>0</v>
      </c>
      <c r="K26" s="26" t="n">
        <f aca="false">J26+K21-K25</f>
        <v>0</v>
      </c>
      <c r="L26" s="26" t="n">
        <f aca="false">K26+L21-L25</f>
        <v>0</v>
      </c>
      <c r="M26" s="26" t="n">
        <f aca="false">L26+M21-M25</f>
        <v>6.66666666666663</v>
      </c>
      <c r="N26" s="26" t="n">
        <f aca="false">M26+N21-N25</f>
        <v>86.6666666666666</v>
      </c>
      <c r="O26" s="26" t="n">
        <f aca="false">N26+O21-O25</f>
        <v>0</v>
      </c>
      <c r="P26" s="26" t="n">
        <f aca="false">O26+P21-P25</f>
        <v>114</v>
      </c>
      <c r="Q26" s="26" t="n">
        <f aca="false">P26+Q21-Q25</f>
        <v>99.6666666666667</v>
      </c>
      <c r="R26" s="26" t="n">
        <f aca="false">Q26+R21-R25</f>
        <v>0</v>
      </c>
      <c r="S26" s="26" t="n">
        <f aca="false">R26+S21-S25</f>
        <v>0</v>
      </c>
      <c r="T26" s="26" t="n">
        <f aca="false">S26+T21-T25</f>
        <v>0</v>
      </c>
      <c r="U26" s="26" t="n">
        <f aca="false">T26+U21-U25</f>
        <v>0</v>
      </c>
      <c r="V26" s="26" t="n">
        <f aca="false">U26+V21-V25</f>
        <v>0</v>
      </c>
      <c r="W26" s="26" t="n">
        <f aca="false">V26+W21-W25</f>
        <v>0</v>
      </c>
      <c r="X26" s="26" t="n">
        <f aca="false">W26+X21-X25</f>
        <v>120.666666666667</v>
      </c>
      <c r="Y26" s="26" t="n">
        <f aca="false">X26+Y21-Y25</f>
        <v>626.333333333334</v>
      </c>
      <c r="Z26" s="26" t="n">
        <f aca="false">Y26+Z21-Z25</f>
        <v>1260.33333333333</v>
      </c>
      <c r="AA26" s="26" t="n">
        <f aca="false">Z26+AA21-AA25</f>
        <v>1564.33333333334</v>
      </c>
      <c r="AB26" s="26" t="n">
        <f aca="false">AA26+AB21-AB25</f>
        <v>2232.33333333334</v>
      </c>
      <c r="AC26" s="26" t="n">
        <f aca="false">AB26+AC21-AC25</f>
        <v>2717</v>
      </c>
      <c r="AD26" s="26" t="n">
        <f aca="false">AC26+AD21-AD25</f>
        <v>3018.33333333334</v>
      </c>
      <c r="AE26" s="26" t="n">
        <f aca="false">AD26+AE21-AE25</f>
        <v>2586.33333333334</v>
      </c>
      <c r="AF26" s="26" t="n">
        <f aca="false">AE26+AF21-AF25</f>
        <v>1604.33333333333</v>
      </c>
      <c r="AG26" s="26" t="n">
        <f aca="false">AF26+AG21-AG25</f>
        <v>439.000000000001</v>
      </c>
      <c r="AH26" s="26" t="n">
        <f aca="false">AG26+AH21-AH25</f>
        <v>0</v>
      </c>
      <c r="AI26" s="26" t="n">
        <f aca="false">AH26+AI21-AI25</f>
        <v>0</v>
      </c>
      <c r="AJ26" s="26" t="n">
        <f aca="false">AI26+AJ21-AJ25</f>
        <v>0</v>
      </c>
      <c r="AK26" s="26" t="n">
        <f aca="false">AJ26+AK21-AK25</f>
        <v>484.666666666667</v>
      </c>
      <c r="AL26" s="26" t="n">
        <f aca="false">AK26+AL21-AL25</f>
        <v>1152.66666666667</v>
      </c>
      <c r="AM26" s="26" t="n">
        <f aca="false">AL26+AM21-AM25</f>
        <v>1820.66666666667</v>
      </c>
      <c r="AN26" s="26" t="n">
        <f aca="false">AM26+AN21-AN25</f>
        <v>2488.66666666667</v>
      </c>
      <c r="AO26" s="26" t="n">
        <f aca="false">AN26+AO21-AO25</f>
        <v>2973.33333333333</v>
      </c>
      <c r="AP26" s="26" t="n">
        <f aca="false">AO26+AP21-AP25</f>
        <v>3274.66666666667</v>
      </c>
      <c r="AQ26" s="26" t="n">
        <f aca="false">AP26+AQ21-AQ25</f>
        <v>2842.66666666667</v>
      </c>
      <c r="AR26" s="26" t="n">
        <f aca="false">AQ26+AR21-AR25</f>
        <v>1860.66666666667</v>
      </c>
      <c r="AS26" s="26" t="n">
        <f aca="false">AR26+AS21-AS25</f>
        <v>695.333333333334</v>
      </c>
      <c r="AT26" s="26" t="n">
        <f aca="false">AS26+AT21-AT25</f>
        <v>0</v>
      </c>
      <c r="AU26" s="26" t="n">
        <f aca="false">AT26+AU21-AU25</f>
        <v>0</v>
      </c>
      <c r="AV26" s="26" t="n">
        <f aca="false">AU26+AV21-AV25</f>
        <v>0</v>
      </c>
      <c r="AW26" s="26" t="n">
        <f aca="false">AV26+AW21-AW25</f>
        <v>484.666666666667</v>
      </c>
      <c r="AX26" s="26" t="n">
        <f aca="false">AW26+AX21-AX25</f>
        <v>1152.66666666667</v>
      </c>
      <c r="AY26" s="26" t="n">
        <f aca="false">AX26+AY21-AY25</f>
        <v>1820.66666666667</v>
      </c>
      <c r="AZ26" s="26" t="n">
        <f aca="false">AY26+AZ21-AZ25</f>
        <v>2488.66666666667</v>
      </c>
      <c r="BA26" s="26" t="n">
        <f aca="false">AZ26+BA21-BA25</f>
        <v>2973.33333333333</v>
      </c>
      <c r="BB26" s="26" t="n">
        <f aca="false">BA26+BB21-BB25</f>
        <v>3274.66666666667</v>
      </c>
      <c r="BC26" s="26" t="n">
        <f aca="false">BB26+BC21-BC25</f>
        <v>2842.66666666667</v>
      </c>
      <c r="BD26" s="26" t="n">
        <f aca="false">BC26+BD21-BD25</f>
        <v>1860.66666666667</v>
      </c>
      <c r="BE26" s="26" t="n">
        <f aca="false">BD26+BE21-BE25</f>
        <v>695.333333333334</v>
      </c>
      <c r="BF26" s="26" t="n">
        <f aca="false">BE26+BF21-BF25</f>
        <v>0</v>
      </c>
      <c r="BG26" s="26" t="n">
        <f aca="false">BF26+BG21-BG25</f>
        <v>0</v>
      </c>
      <c r="BH26" s="26" t="n">
        <f aca="false">BG26+BH21-BH25</f>
        <v>0</v>
      </c>
      <c r="BI26" s="26" t="n">
        <f aca="false">BH26+BI21-BI25</f>
        <v>484.666666666667</v>
      </c>
      <c r="BJ26" s="26" t="n">
        <f aca="false">BI26+BJ21-BJ25</f>
        <v>1152.66666666667</v>
      </c>
    </row>
    <row r="27" customFormat="false" ht="15" hidden="false" customHeight="false" outlineLevel="0" collapsed="false">
      <c r="A27" s="9" t="s">
        <v>202</v>
      </c>
      <c r="B27" s="9"/>
      <c r="C27" s="27" t="n">
        <f aca="false">IF(C$3&gt;12,Assumptions!$F$37/12,0)</f>
        <v>0</v>
      </c>
      <c r="D27" s="27" t="n">
        <f aca="false">IF(D$3&gt;12,Assumptions!$F$37/12,0)</f>
        <v>0</v>
      </c>
      <c r="E27" s="27" t="n">
        <f aca="false">IF(E$3&gt;12,Assumptions!$F$37/12,0)</f>
        <v>0</v>
      </c>
      <c r="F27" s="27" t="n">
        <f aca="false">IF(F$3&gt;12,Assumptions!$F$37/12,0)</f>
        <v>0</v>
      </c>
      <c r="G27" s="27" t="n">
        <f aca="false">IF(G$3&gt;12,Assumptions!$F$37/12,0)</f>
        <v>0</v>
      </c>
      <c r="H27" s="27" t="n">
        <f aca="false">IF(H$3&gt;12,Assumptions!$F$37/12,0)</f>
        <v>0</v>
      </c>
      <c r="I27" s="27" t="n">
        <f aca="false">IF(I$3&gt;12,Assumptions!$F$37/12,0)</f>
        <v>0</v>
      </c>
      <c r="J27" s="27" t="n">
        <f aca="false">IF(J$3&gt;12,Assumptions!$F$37/12,0)</f>
        <v>0</v>
      </c>
      <c r="K27" s="27" t="n">
        <f aca="false">IF(K$3&gt;12,Assumptions!$F$37/12,0)</f>
        <v>0</v>
      </c>
      <c r="L27" s="27" t="n">
        <f aca="false">IF(L$3&gt;12,Assumptions!$F$37/12,0)</f>
        <v>0</v>
      </c>
      <c r="M27" s="27" t="n">
        <f aca="false">IF(M$3&gt;12,Assumptions!$F$37/12,0)</f>
        <v>0</v>
      </c>
      <c r="N27" s="27" t="n">
        <f aca="false">IF(N$3&gt;12,Assumptions!$F$37/12,0)</f>
        <v>0</v>
      </c>
      <c r="O27" s="27" t="n">
        <f aca="false">IF(O$3&gt;12,Assumptions!$F$37/12,0)</f>
        <v>2.5</v>
      </c>
      <c r="P27" s="27" t="n">
        <f aca="false">IF(P$3&gt;12,Assumptions!$F$37/12,0)</f>
        <v>2.5</v>
      </c>
      <c r="Q27" s="27" t="n">
        <f aca="false">IF(Q$3&gt;12,Assumptions!$F$37/12,0)</f>
        <v>2.5</v>
      </c>
      <c r="R27" s="27" t="n">
        <f aca="false">IF(R$3&gt;12,Assumptions!$F$37/12,0)</f>
        <v>2.5</v>
      </c>
      <c r="S27" s="27" t="n">
        <f aca="false">IF(S$3&gt;12,Assumptions!$F$37/12,0)</f>
        <v>2.5</v>
      </c>
      <c r="T27" s="27" t="n">
        <f aca="false">IF(T$3&gt;12,Assumptions!$F$37/12,0)</f>
        <v>2.5</v>
      </c>
      <c r="U27" s="27" t="n">
        <f aca="false">IF(U$3&gt;12,Assumptions!$F$37/12,0)</f>
        <v>2.5</v>
      </c>
      <c r="V27" s="27" t="n">
        <f aca="false">IF(V$3&gt;12,Assumptions!$F$37/12,0)</f>
        <v>2.5</v>
      </c>
      <c r="W27" s="27" t="n">
        <f aca="false">IF(W$3&gt;12,Assumptions!$F$37/12,0)</f>
        <v>2.5</v>
      </c>
      <c r="X27" s="27" t="n">
        <f aca="false">IF(X$3&gt;12,Assumptions!$F$37/12,0)</f>
        <v>2.5</v>
      </c>
      <c r="Y27" s="27" t="n">
        <f aca="false">IF(Y$3&gt;12,Assumptions!$F$37/12,0)</f>
        <v>2.5</v>
      </c>
      <c r="Z27" s="27" t="n">
        <f aca="false">IF(Z$3&gt;12,Assumptions!$F$37/12,0)</f>
        <v>2.5</v>
      </c>
      <c r="AA27" s="27" t="n">
        <f aca="false">IF(AA$3&gt;12,Assumptions!$F$37/12,0)</f>
        <v>2.5</v>
      </c>
      <c r="AB27" s="27" t="n">
        <f aca="false">IF(AB$3&gt;12,Assumptions!$F$37/12,0)</f>
        <v>2.5</v>
      </c>
      <c r="AC27" s="27" t="n">
        <f aca="false">IF(AC$3&gt;12,Assumptions!$F$37/12,0)</f>
        <v>2.5</v>
      </c>
      <c r="AD27" s="27" t="n">
        <f aca="false">IF(AD$3&gt;12,Assumptions!$F$37/12,0)</f>
        <v>2.5</v>
      </c>
      <c r="AE27" s="27" t="n">
        <f aca="false">IF(AE$3&gt;12,Assumptions!$F$37/12,0)</f>
        <v>2.5</v>
      </c>
      <c r="AF27" s="27" t="n">
        <f aca="false">IF(AF$3&gt;12,Assumptions!$F$37/12,0)</f>
        <v>2.5</v>
      </c>
      <c r="AG27" s="27" t="n">
        <f aca="false">IF(AG$3&gt;12,Assumptions!$F$37/12,0)</f>
        <v>2.5</v>
      </c>
      <c r="AH27" s="27" t="n">
        <f aca="false">IF(AH$3&gt;12,Assumptions!$F$37/12,0)</f>
        <v>2.5</v>
      </c>
      <c r="AI27" s="27" t="n">
        <f aca="false">IF(AI$3&gt;12,Assumptions!$F$37/12,0)</f>
        <v>2.5</v>
      </c>
      <c r="AJ27" s="27" t="n">
        <f aca="false">IF(AJ$3&gt;12,Assumptions!$F$37/12,0)</f>
        <v>2.5</v>
      </c>
      <c r="AK27" s="27" t="n">
        <f aca="false">IF(AK$3&gt;12,Assumptions!$F$37/12,0)</f>
        <v>2.5</v>
      </c>
      <c r="AL27" s="27" t="n">
        <f aca="false">IF(AL$3&gt;12,Assumptions!$F$37/12,0)</f>
        <v>2.5</v>
      </c>
      <c r="AM27" s="27" t="n">
        <f aca="false">IF(AM$3&gt;12,Assumptions!$F$37/12,0)</f>
        <v>2.5</v>
      </c>
      <c r="AN27" s="27" t="n">
        <f aca="false">IF(AN$3&gt;12,Assumptions!$F$37/12,0)</f>
        <v>2.5</v>
      </c>
      <c r="AO27" s="27" t="n">
        <f aca="false">IF(AO$3&gt;12,Assumptions!$F$37/12,0)</f>
        <v>2.5</v>
      </c>
      <c r="AP27" s="27" t="n">
        <f aca="false">IF(AP$3&gt;12,Assumptions!$F$37/12,0)</f>
        <v>2.5</v>
      </c>
      <c r="AQ27" s="27" t="n">
        <f aca="false">IF(AQ$3&gt;12,Assumptions!$F$37/12,0)</f>
        <v>2.5</v>
      </c>
      <c r="AR27" s="27" t="n">
        <f aca="false">IF(AR$3&gt;12,Assumptions!$F$37/12,0)</f>
        <v>2.5</v>
      </c>
      <c r="AS27" s="27" t="n">
        <f aca="false">IF(AS$3&gt;12,Assumptions!$F$37/12,0)</f>
        <v>2.5</v>
      </c>
      <c r="AT27" s="27" t="n">
        <f aca="false">IF(AT$3&gt;12,Assumptions!$F$37/12,0)</f>
        <v>2.5</v>
      </c>
      <c r="AU27" s="27" t="n">
        <f aca="false">IF(AU$3&gt;12,Assumptions!$F$37/12,0)</f>
        <v>2.5</v>
      </c>
      <c r="AV27" s="27" t="n">
        <f aca="false">IF(AV$3&gt;12,Assumptions!$F$37/12,0)</f>
        <v>2.5</v>
      </c>
      <c r="AW27" s="27" t="n">
        <f aca="false">IF(AW$3&gt;12,Assumptions!$F$37/12,0)</f>
        <v>2.5</v>
      </c>
      <c r="AX27" s="27" t="n">
        <f aca="false">IF(AX$3&gt;12,Assumptions!$F$37/12,0)</f>
        <v>2.5</v>
      </c>
      <c r="AY27" s="27" t="n">
        <f aca="false">IF(AY$3&gt;12,Assumptions!$F$37/12,0)</f>
        <v>2.5</v>
      </c>
      <c r="AZ27" s="27" t="n">
        <f aca="false">IF(AZ$3&gt;12,Assumptions!$F$37/12,0)</f>
        <v>2.5</v>
      </c>
      <c r="BA27" s="27" t="n">
        <f aca="false">IF(BA$3&gt;12,Assumptions!$F$37/12,0)</f>
        <v>2.5</v>
      </c>
      <c r="BB27" s="27" t="n">
        <f aca="false">IF(BB$3&gt;12,Assumptions!$F$37/12,0)</f>
        <v>2.5</v>
      </c>
      <c r="BC27" s="27" t="n">
        <f aca="false">IF(BC$3&gt;12,Assumptions!$F$37/12,0)</f>
        <v>2.5</v>
      </c>
      <c r="BD27" s="27" t="n">
        <f aca="false">IF(BD$3&gt;12,Assumptions!$F$37/12,0)</f>
        <v>2.5</v>
      </c>
      <c r="BE27" s="27" t="n">
        <f aca="false">IF(BE$3&gt;12,Assumptions!$F$37/12,0)</f>
        <v>2.5</v>
      </c>
      <c r="BF27" s="27" t="n">
        <f aca="false">IF(BF$3&gt;12,Assumptions!$F$37/12,0)</f>
        <v>2.5</v>
      </c>
      <c r="BG27" s="27" t="n">
        <f aca="false">IF(BG$3&gt;12,Assumptions!$F$37/12,0)</f>
        <v>2.5</v>
      </c>
      <c r="BH27" s="27" t="n">
        <f aca="false">IF(BH$3&gt;12,Assumptions!$F$37/12,0)</f>
        <v>2.5</v>
      </c>
      <c r="BI27" s="27" t="n">
        <f aca="false">IF(BI$3&gt;12,Assumptions!$F$37/12,0)</f>
        <v>2.5</v>
      </c>
      <c r="BJ27" s="27" t="n">
        <f aca="false">IF(BJ$3&gt;12,Assumptions!$F$37/12,0)</f>
        <v>2.5</v>
      </c>
    </row>
    <row r="28" customFormat="false" ht="15" hidden="false" customHeight="false" outlineLevel="0" collapsed="false">
      <c r="A28" s="7" t="s">
        <v>203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customFormat="false" ht="15" hidden="false" customHeight="false" outlineLevel="0" collapsed="false">
      <c r="A29" s="9" t="s">
        <v>204</v>
      </c>
      <c r="B29" s="9"/>
      <c r="C29" s="26" t="n">
        <f aca="false">C25*Assumptions!$F$36*C7</f>
        <v>0</v>
      </c>
      <c r="D29" s="26" t="n">
        <f aca="false">D25*Assumptions!$F$36*D7</f>
        <v>0</v>
      </c>
      <c r="E29" s="26" t="n">
        <f aca="false">E25*Assumptions!$F$36*E7</f>
        <v>0</v>
      </c>
      <c r="F29" s="26" t="n">
        <f aca="false">F25*Assumptions!$F$36*F7</f>
        <v>0</v>
      </c>
      <c r="G29" s="26" t="n">
        <f aca="false">G25*Assumptions!$F$36*G7</f>
        <v>0</v>
      </c>
      <c r="H29" s="26" t="n">
        <f aca="false">H25*Assumptions!$F$36*H7</f>
        <v>0</v>
      </c>
      <c r="I29" s="26" t="n">
        <f aca="false">I25*Assumptions!$F$36*I7</f>
        <v>0</v>
      </c>
      <c r="J29" s="26" t="n">
        <f aca="false">J25*Assumptions!$F$36*J7</f>
        <v>8320</v>
      </c>
      <c r="K29" s="26" t="n">
        <f aca="false">K25*Assumptions!$F$36*K7</f>
        <v>8320</v>
      </c>
      <c r="L29" s="26" t="n">
        <f aca="false">L25*Assumptions!$F$36*L7</f>
        <v>8320</v>
      </c>
      <c r="M29" s="26" t="n">
        <f aca="false">M25*Assumptions!$F$36*M7</f>
        <v>8213.33333333333</v>
      </c>
      <c r="N29" s="26" t="n">
        <f aca="false">N25*Assumptions!$F$36*N7</f>
        <v>7040</v>
      </c>
      <c r="O29" s="26" t="n">
        <f aca="false">O25*Assumptions!$F$36*O7</f>
        <v>10871.4666666667</v>
      </c>
      <c r="P29" s="26" t="n">
        <f aca="false">P25*Assumptions!$F$36*P7</f>
        <v>13798.4</v>
      </c>
      <c r="Q29" s="26" t="n">
        <f aca="false">Q25*Assumptions!$F$36*Q7</f>
        <v>16098.1333333333</v>
      </c>
      <c r="R29" s="26" t="n">
        <f aca="false">R25*Assumptions!$F$36*R7</f>
        <v>17627.3066666667</v>
      </c>
      <c r="S29" s="26" t="n">
        <f aca="false">S25*Assumptions!$F$36*S7</f>
        <v>15841.28</v>
      </c>
      <c r="T29" s="26" t="n">
        <f aca="false">T25*Assumptions!$F$36*T7</f>
        <v>15841.28</v>
      </c>
      <c r="U29" s="26" t="n">
        <f aca="false">U25*Assumptions!$F$36*U7</f>
        <v>15841.28</v>
      </c>
      <c r="V29" s="26" t="n">
        <f aca="false">V25*Assumptions!$F$36*V7</f>
        <v>25159.68</v>
      </c>
      <c r="W29" s="26" t="n">
        <f aca="false">W25*Assumptions!$F$36*W7</f>
        <v>25159.68</v>
      </c>
      <c r="X29" s="26" t="n">
        <f aca="false">X25*Assumptions!$F$36*X7</f>
        <v>22997.3333333333</v>
      </c>
      <c r="Y29" s="26" t="n">
        <f aca="false">Y25*Assumptions!$F$36*Y7</f>
        <v>16098.1333333333</v>
      </c>
      <c r="Z29" s="26" t="n">
        <f aca="false">Z25*Assumptions!$F$36*Z7</f>
        <v>13798.4</v>
      </c>
      <c r="AA29" s="26" t="n">
        <f aca="false">AA25*Assumptions!$F$36*AA7</f>
        <v>22077.44</v>
      </c>
      <c r="AB29" s="26" t="n">
        <f aca="false">AB25*Assumptions!$F$36*AB7</f>
        <v>22077.44</v>
      </c>
      <c r="AC29" s="26" t="n">
        <f aca="false">AC25*Assumptions!$F$36*AC7</f>
        <v>25757.0133333333</v>
      </c>
      <c r="AD29" s="26" t="n">
        <f aca="false">AD25*Assumptions!$F$36*AD7</f>
        <v>29436.5866666667</v>
      </c>
      <c r="AE29" s="26" t="n">
        <f aca="false">AE25*Assumptions!$F$36*AE7</f>
        <v>44154.88</v>
      </c>
      <c r="AF29" s="26" t="n">
        <f aca="false">AF25*Assumptions!$F$36*AF7</f>
        <v>55193.6</v>
      </c>
      <c r="AG29" s="26" t="n">
        <f aca="false">AG25*Assumptions!$F$36*AG7</f>
        <v>58873.1733333334</v>
      </c>
      <c r="AH29" s="26" t="n">
        <f aca="false">AH25*Assumptions!$F$36*AH7</f>
        <v>44295.3728</v>
      </c>
      <c r="AI29" s="26" t="n">
        <f aca="false">AI25*Assumptions!$F$36*AI7</f>
        <v>35484.4672</v>
      </c>
      <c r="AJ29" s="26" t="n">
        <f aca="false">AJ25*Assumptions!$F$36*AJ7</f>
        <v>35484.4672</v>
      </c>
      <c r="AK29" s="26" t="n">
        <f aca="false">AK25*Assumptions!$F$36*AK7</f>
        <v>25757.0133333333</v>
      </c>
      <c r="AL29" s="26" t="n">
        <f aca="false">AL25*Assumptions!$F$36*AL7</f>
        <v>22077.44</v>
      </c>
      <c r="AM29" s="26" t="n">
        <f aca="false">AM25*Assumptions!$F$36*AM7</f>
        <v>24726.7328</v>
      </c>
      <c r="AN29" s="26" t="n">
        <f aca="false">AN25*Assumptions!$F$36*AN7</f>
        <v>24726.7328</v>
      </c>
      <c r="AO29" s="26" t="n">
        <f aca="false">AO25*Assumptions!$F$36*AO7</f>
        <v>28847.8549333333</v>
      </c>
      <c r="AP29" s="26" t="n">
        <f aca="false">AP25*Assumptions!$F$36*AP7</f>
        <v>32968.9770666667</v>
      </c>
      <c r="AQ29" s="26" t="n">
        <f aca="false">AQ25*Assumptions!$F$36*AQ7</f>
        <v>49453.4656</v>
      </c>
      <c r="AR29" s="26" t="n">
        <f aca="false">AR25*Assumptions!$F$36*AR7</f>
        <v>61816.832</v>
      </c>
      <c r="AS29" s="26" t="n">
        <f aca="false">AS25*Assumptions!$F$36*AS7</f>
        <v>65937.9541333334</v>
      </c>
      <c r="AT29" s="26" t="n">
        <f aca="false">AT25*Assumptions!$F$36*AT7</f>
        <v>55372.8955733334</v>
      </c>
      <c r="AU29" s="26" t="n">
        <f aca="false">AU25*Assumptions!$F$36*AU7</f>
        <v>39742.603264</v>
      </c>
      <c r="AV29" s="26" t="n">
        <f aca="false">AV25*Assumptions!$F$36*AV7</f>
        <v>39742.603264</v>
      </c>
      <c r="AW29" s="26" t="n">
        <f aca="false">AW25*Assumptions!$F$36*AW7</f>
        <v>28847.8549333333</v>
      </c>
      <c r="AX29" s="26" t="n">
        <f aca="false">AX25*Assumptions!$F$36*AX7</f>
        <v>24726.7328</v>
      </c>
      <c r="AY29" s="26" t="n">
        <f aca="false">AY25*Assumptions!$F$36*AY7</f>
        <v>27693.940736</v>
      </c>
      <c r="AZ29" s="26" t="n">
        <f aca="false">AZ25*Assumptions!$F$36*AZ7</f>
        <v>27693.940736</v>
      </c>
      <c r="BA29" s="26" t="n">
        <f aca="false">BA25*Assumptions!$F$36*BA7</f>
        <v>32309.5975253333</v>
      </c>
      <c r="BB29" s="26" t="n">
        <f aca="false">BB25*Assumptions!$F$36*BB7</f>
        <v>36925.2543146667</v>
      </c>
      <c r="BC29" s="26" t="n">
        <f aca="false">BC25*Assumptions!$F$36*BC7</f>
        <v>55387.881472</v>
      </c>
      <c r="BD29" s="26" t="n">
        <f aca="false">BD25*Assumptions!$F$36*BD7</f>
        <v>69234.85184</v>
      </c>
      <c r="BE29" s="26" t="n">
        <f aca="false">BE25*Assumptions!$F$36*BE7</f>
        <v>73850.5086293334</v>
      </c>
      <c r="BF29" s="26" t="n">
        <f aca="false">BF25*Assumptions!$F$36*BF7</f>
        <v>62017.6430421334</v>
      </c>
      <c r="BG29" s="26" t="n">
        <f aca="false">BG25*Assumptions!$F$36*BG7</f>
        <v>44511.71565568</v>
      </c>
      <c r="BH29" s="26" t="n">
        <f aca="false">BH25*Assumptions!$F$36*BH7</f>
        <v>44511.71565568</v>
      </c>
      <c r="BI29" s="26" t="n">
        <f aca="false">BI25*Assumptions!$F$36*BI7</f>
        <v>32309.5975253333</v>
      </c>
      <c r="BJ29" s="26" t="n">
        <f aca="false">BJ25*Assumptions!$F$36*BJ7</f>
        <v>27693.940736</v>
      </c>
    </row>
    <row r="30" customFormat="false" ht="15" hidden="false" customHeight="false" outlineLevel="0" collapsed="false">
      <c r="A30" s="9" t="s">
        <v>205</v>
      </c>
      <c r="B30" s="9"/>
      <c r="C30" s="26" t="n">
        <f aca="false">C27*Assumptions!$F$38*C7</f>
        <v>0</v>
      </c>
      <c r="D30" s="26" t="n">
        <f aca="false">D27*Assumptions!$F$38*D7</f>
        <v>0</v>
      </c>
      <c r="E30" s="26" t="n">
        <f aca="false">E27*Assumptions!$F$38*E7</f>
        <v>0</v>
      </c>
      <c r="F30" s="26" t="n">
        <f aca="false">F27*Assumptions!$F$38*F7</f>
        <v>0</v>
      </c>
      <c r="G30" s="26" t="n">
        <f aca="false">G27*Assumptions!$F$38*G7</f>
        <v>0</v>
      </c>
      <c r="H30" s="26" t="n">
        <f aca="false">H27*Assumptions!$F$38*H7</f>
        <v>0</v>
      </c>
      <c r="I30" s="26" t="n">
        <f aca="false">I27*Assumptions!$F$38*I7</f>
        <v>0</v>
      </c>
      <c r="J30" s="26" t="n">
        <f aca="false">J27*Assumptions!$F$38*J7</f>
        <v>0</v>
      </c>
      <c r="K30" s="26" t="n">
        <f aca="false">K27*Assumptions!$F$38*K7</f>
        <v>0</v>
      </c>
      <c r="L30" s="26" t="n">
        <f aca="false">L27*Assumptions!$F$38*L7</f>
        <v>0</v>
      </c>
      <c r="M30" s="26" t="n">
        <f aca="false">M27*Assumptions!$F$38*M7</f>
        <v>0</v>
      </c>
      <c r="N30" s="26" t="n">
        <f aca="false">N27*Assumptions!$F$38*N7</f>
        <v>0</v>
      </c>
      <c r="O30" s="26" t="n">
        <f aca="false">O27*Assumptions!$F$38*O7</f>
        <v>980</v>
      </c>
      <c r="P30" s="26" t="n">
        <f aca="false">P27*Assumptions!$F$38*P7</f>
        <v>980</v>
      </c>
      <c r="Q30" s="26" t="n">
        <f aca="false">Q27*Assumptions!$F$38*Q7</f>
        <v>980</v>
      </c>
      <c r="R30" s="26" t="n">
        <f aca="false">R27*Assumptions!$F$38*R7</f>
        <v>980</v>
      </c>
      <c r="S30" s="26" t="n">
        <f aca="false">S27*Assumptions!$F$38*S7</f>
        <v>980</v>
      </c>
      <c r="T30" s="26" t="n">
        <f aca="false">T27*Assumptions!$F$38*T7</f>
        <v>980</v>
      </c>
      <c r="U30" s="26" t="n">
        <f aca="false">U27*Assumptions!$F$38*U7</f>
        <v>980</v>
      </c>
      <c r="V30" s="26" t="n">
        <f aca="false">V27*Assumptions!$F$38*V7</f>
        <v>980</v>
      </c>
      <c r="W30" s="26" t="n">
        <f aca="false">W27*Assumptions!$F$38*W7</f>
        <v>980</v>
      </c>
      <c r="X30" s="26" t="n">
        <f aca="false">X27*Assumptions!$F$38*X7</f>
        <v>980</v>
      </c>
      <c r="Y30" s="26" t="n">
        <f aca="false">Y27*Assumptions!$F$38*Y7</f>
        <v>980</v>
      </c>
      <c r="Z30" s="26" t="n">
        <f aca="false">Z27*Assumptions!$F$38*Z7</f>
        <v>980</v>
      </c>
      <c r="AA30" s="26" t="n">
        <f aca="false">AA27*Assumptions!$F$38*AA7</f>
        <v>1097.6</v>
      </c>
      <c r="AB30" s="26" t="n">
        <f aca="false">AB27*Assumptions!$F$38*AB7</f>
        <v>1097.6</v>
      </c>
      <c r="AC30" s="26" t="n">
        <f aca="false">AC27*Assumptions!$F$38*AC7</f>
        <v>1097.6</v>
      </c>
      <c r="AD30" s="26" t="n">
        <f aca="false">AD27*Assumptions!$F$38*AD7</f>
        <v>1097.6</v>
      </c>
      <c r="AE30" s="26" t="n">
        <f aca="false">AE27*Assumptions!$F$38*AE7</f>
        <v>1097.6</v>
      </c>
      <c r="AF30" s="26" t="n">
        <f aca="false">AF27*Assumptions!$F$38*AF7</f>
        <v>1097.6</v>
      </c>
      <c r="AG30" s="26" t="n">
        <f aca="false">AG27*Assumptions!$F$38*AG7</f>
        <v>1097.6</v>
      </c>
      <c r="AH30" s="26" t="n">
        <f aca="false">AH27*Assumptions!$F$38*AH7</f>
        <v>1097.6</v>
      </c>
      <c r="AI30" s="26" t="n">
        <f aca="false">AI27*Assumptions!$F$38*AI7</f>
        <v>1097.6</v>
      </c>
      <c r="AJ30" s="26" t="n">
        <f aca="false">AJ27*Assumptions!$F$38*AJ7</f>
        <v>1097.6</v>
      </c>
      <c r="AK30" s="26" t="n">
        <f aca="false">AK27*Assumptions!$F$38*AK7</f>
        <v>1097.6</v>
      </c>
      <c r="AL30" s="26" t="n">
        <f aca="false">AL27*Assumptions!$F$38*AL7</f>
        <v>1097.6</v>
      </c>
      <c r="AM30" s="26" t="n">
        <f aca="false">AM27*Assumptions!$F$38*AM7</f>
        <v>1229.312</v>
      </c>
      <c r="AN30" s="26" t="n">
        <f aca="false">AN27*Assumptions!$F$38*AN7</f>
        <v>1229.312</v>
      </c>
      <c r="AO30" s="26" t="n">
        <f aca="false">AO27*Assumptions!$F$38*AO7</f>
        <v>1229.312</v>
      </c>
      <c r="AP30" s="26" t="n">
        <f aca="false">AP27*Assumptions!$F$38*AP7</f>
        <v>1229.312</v>
      </c>
      <c r="AQ30" s="26" t="n">
        <f aca="false">AQ27*Assumptions!$F$38*AQ7</f>
        <v>1229.312</v>
      </c>
      <c r="AR30" s="26" t="n">
        <f aca="false">AR27*Assumptions!$F$38*AR7</f>
        <v>1229.312</v>
      </c>
      <c r="AS30" s="26" t="n">
        <f aca="false">AS27*Assumptions!$F$38*AS7</f>
        <v>1229.312</v>
      </c>
      <c r="AT30" s="26" t="n">
        <f aca="false">AT27*Assumptions!$F$38*AT7</f>
        <v>1229.312</v>
      </c>
      <c r="AU30" s="26" t="n">
        <f aca="false">AU27*Assumptions!$F$38*AU7</f>
        <v>1229.312</v>
      </c>
      <c r="AV30" s="26" t="n">
        <f aca="false">AV27*Assumptions!$F$38*AV7</f>
        <v>1229.312</v>
      </c>
      <c r="AW30" s="26" t="n">
        <f aca="false">AW27*Assumptions!$F$38*AW7</f>
        <v>1229.312</v>
      </c>
      <c r="AX30" s="26" t="n">
        <f aca="false">AX27*Assumptions!$F$38*AX7</f>
        <v>1229.312</v>
      </c>
      <c r="AY30" s="26" t="n">
        <f aca="false">AY27*Assumptions!$F$38*AY7</f>
        <v>1376.82944</v>
      </c>
      <c r="AZ30" s="26" t="n">
        <f aca="false">AZ27*Assumptions!$F$38*AZ7</f>
        <v>1376.82944</v>
      </c>
      <c r="BA30" s="26" t="n">
        <f aca="false">BA27*Assumptions!$F$38*BA7</f>
        <v>1376.82944</v>
      </c>
      <c r="BB30" s="26" t="n">
        <f aca="false">BB27*Assumptions!$F$38*BB7</f>
        <v>1376.82944</v>
      </c>
      <c r="BC30" s="26" t="n">
        <f aca="false">BC27*Assumptions!$F$38*BC7</f>
        <v>1376.82944</v>
      </c>
      <c r="BD30" s="26" t="n">
        <f aca="false">BD27*Assumptions!$F$38*BD7</f>
        <v>1376.82944</v>
      </c>
      <c r="BE30" s="26" t="n">
        <f aca="false">BE27*Assumptions!$F$38*BE7</f>
        <v>1376.82944</v>
      </c>
      <c r="BF30" s="26" t="n">
        <f aca="false">BF27*Assumptions!$F$38*BF7</f>
        <v>1376.82944</v>
      </c>
      <c r="BG30" s="26" t="n">
        <f aca="false">BG27*Assumptions!$F$38*BG7</f>
        <v>1376.82944</v>
      </c>
      <c r="BH30" s="26" t="n">
        <f aca="false">BH27*Assumptions!$F$38*BH7</f>
        <v>1376.82944</v>
      </c>
      <c r="BI30" s="26" t="n">
        <f aca="false">BI27*Assumptions!$F$38*BI7</f>
        <v>1376.82944</v>
      </c>
      <c r="BJ30" s="26" t="n">
        <f aca="false">BJ27*Assumptions!$F$38*BJ7</f>
        <v>1376.82944</v>
      </c>
    </row>
    <row r="31" customFormat="false" ht="15" hidden="false" customHeight="false" outlineLevel="0" collapsed="false">
      <c r="A31" s="3" t="s">
        <v>206</v>
      </c>
      <c r="B31" s="9"/>
      <c r="C31" s="14" t="n">
        <f aca="false">C29+C30</f>
        <v>0</v>
      </c>
      <c r="D31" s="14" t="n">
        <f aca="false">D29+D30</f>
        <v>0</v>
      </c>
      <c r="E31" s="14" t="n">
        <f aca="false">E29+E30</f>
        <v>0</v>
      </c>
      <c r="F31" s="14" t="n">
        <f aca="false">F29+F30</f>
        <v>0</v>
      </c>
      <c r="G31" s="14" t="n">
        <f aca="false">G29+G30</f>
        <v>0</v>
      </c>
      <c r="H31" s="14" t="n">
        <f aca="false">H29+H30</f>
        <v>0</v>
      </c>
      <c r="I31" s="14" t="n">
        <f aca="false">I29+I30</f>
        <v>0</v>
      </c>
      <c r="J31" s="14" t="n">
        <f aca="false">J29+J30</f>
        <v>8320</v>
      </c>
      <c r="K31" s="14" t="n">
        <f aca="false">K29+K30</f>
        <v>8320</v>
      </c>
      <c r="L31" s="14" t="n">
        <f aca="false">L29+L30</f>
        <v>8320</v>
      </c>
      <c r="M31" s="14" t="n">
        <f aca="false">M29+M30</f>
        <v>8213.33333333333</v>
      </c>
      <c r="N31" s="14" t="n">
        <f aca="false">N29+N30</f>
        <v>7040</v>
      </c>
      <c r="O31" s="14" t="n">
        <f aca="false">O29+O30</f>
        <v>11851.4666666667</v>
      </c>
      <c r="P31" s="14" t="n">
        <f aca="false">P29+P30</f>
        <v>14778.4</v>
      </c>
      <c r="Q31" s="14" t="n">
        <f aca="false">Q29+Q30</f>
        <v>17078.1333333333</v>
      </c>
      <c r="R31" s="14" t="n">
        <f aca="false">R29+R30</f>
        <v>18607.3066666667</v>
      </c>
      <c r="S31" s="14" t="n">
        <f aca="false">S29+S30</f>
        <v>16821.28</v>
      </c>
      <c r="T31" s="14" t="n">
        <f aca="false">T29+T30</f>
        <v>16821.28</v>
      </c>
      <c r="U31" s="14" t="n">
        <f aca="false">U29+U30</f>
        <v>16821.28</v>
      </c>
      <c r="V31" s="14" t="n">
        <f aca="false">V29+V30</f>
        <v>26139.68</v>
      </c>
      <c r="W31" s="14" t="n">
        <f aca="false">W29+W30</f>
        <v>26139.68</v>
      </c>
      <c r="X31" s="14" t="n">
        <f aca="false">X29+X30</f>
        <v>23977.3333333333</v>
      </c>
      <c r="Y31" s="14" t="n">
        <f aca="false">Y29+Y30</f>
        <v>17078.1333333333</v>
      </c>
      <c r="Z31" s="14" t="n">
        <f aca="false">Z29+Z30</f>
        <v>14778.4</v>
      </c>
      <c r="AA31" s="14" t="n">
        <f aca="false">AA29+AA30</f>
        <v>23175.04</v>
      </c>
      <c r="AB31" s="14" t="n">
        <f aca="false">AB29+AB30</f>
        <v>23175.04</v>
      </c>
      <c r="AC31" s="14" t="n">
        <f aca="false">AC29+AC30</f>
        <v>26854.6133333333</v>
      </c>
      <c r="AD31" s="14" t="n">
        <f aca="false">AD29+AD30</f>
        <v>30534.1866666667</v>
      </c>
      <c r="AE31" s="14" t="n">
        <f aca="false">AE29+AE30</f>
        <v>45252.48</v>
      </c>
      <c r="AF31" s="14" t="n">
        <f aca="false">AF29+AF30</f>
        <v>56291.2</v>
      </c>
      <c r="AG31" s="14" t="n">
        <f aca="false">AG29+AG30</f>
        <v>59970.7733333333</v>
      </c>
      <c r="AH31" s="14" t="n">
        <f aca="false">AH29+AH30</f>
        <v>45392.9728</v>
      </c>
      <c r="AI31" s="14" t="n">
        <f aca="false">AI29+AI30</f>
        <v>36582.0672</v>
      </c>
      <c r="AJ31" s="14" t="n">
        <f aca="false">AJ29+AJ30</f>
        <v>36582.0672</v>
      </c>
      <c r="AK31" s="14" t="n">
        <f aca="false">AK29+AK30</f>
        <v>26854.6133333333</v>
      </c>
      <c r="AL31" s="14" t="n">
        <f aca="false">AL29+AL30</f>
        <v>23175.04</v>
      </c>
      <c r="AM31" s="14" t="n">
        <f aca="false">AM29+AM30</f>
        <v>25956.0448</v>
      </c>
      <c r="AN31" s="14" t="n">
        <f aca="false">AN29+AN30</f>
        <v>25956.0448</v>
      </c>
      <c r="AO31" s="14" t="n">
        <f aca="false">AO29+AO30</f>
        <v>30077.1669333333</v>
      </c>
      <c r="AP31" s="14" t="n">
        <f aca="false">AP29+AP30</f>
        <v>34198.2890666667</v>
      </c>
      <c r="AQ31" s="14" t="n">
        <f aca="false">AQ29+AQ30</f>
        <v>50682.7776</v>
      </c>
      <c r="AR31" s="14" t="n">
        <f aca="false">AR29+AR30</f>
        <v>63046.144</v>
      </c>
      <c r="AS31" s="14" t="n">
        <f aca="false">AS29+AS30</f>
        <v>67167.2661333334</v>
      </c>
      <c r="AT31" s="14" t="n">
        <f aca="false">AT29+AT30</f>
        <v>56602.2075733334</v>
      </c>
      <c r="AU31" s="14" t="n">
        <f aca="false">AU29+AU30</f>
        <v>40971.915264</v>
      </c>
      <c r="AV31" s="14" t="n">
        <f aca="false">AV29+AV30</f>
        <v>40971.915264</v>
      </c>
      <c r="AW31" s="14" t="n">
        <f aca="false">AW29+AW30</f>
        <v>30077.1669333333</v>
      </c>
      <c r="AX31" s="14" t="n">
        <f aca="false">AX29+AX30</f>
        <v>25956.0448</v>
      </c>
      <c r="AY31" s="14" t="n">
        <f aca="false">AY29+AY30</f>
        <v>29070.770176</v>
      </c>
      <c r="AZ31" s="14" t="n">
        <f aca="false">AZ29+AZ30</f>
        <v>29070.770176</v>
      </c>
      <c r="BA31" s="14" t="n">
        <f aca="false">BA29+BA30</f>
        <v>33686.4269653333</v>
      </c>
      <c r="BB31" s="14" t="n">
        <f aca="false">BB29+BB30</f>
        <v>38302.0837546667</v>
      </c>
      <c r="BC31" s="14" t="n">
        <f aca="false">BC29+BC30</f>
        <v>56764.710912</v>
      </c>
      <c r="BD31" s="14" t="n">
        <f aca="false">BD29+BD30</f>
        <v>70611.68128</v>
      </c>
      <c r="BE31" s="14" t="n">
        <f aca="false">BE29+BE30</f>
        <v>75227.3380693334</v>
      </c>
      <c r="BF31" s="14" t="n">
        <f aca="false">BF29+BF30</f>
        <v>63394.4724821334</v>
      </c>
      <c r="BG31" s="14" t="n">
        <f aca="false">BG29+BG30</f>
        <v>45888.54509568</v>
      </c>
      <c r="BH31" s="14" t="n">
        <f aca="false">BH29+BH30</f>
        <v>45888.54509568</v>
      </c>
      <c r="BI31" s="14" t="n">
        <f aca="false">BI29+BI30</f>
        <v>33686.4269653333</v>
      </c>
      <c r="BJ31" s="14" t="n">
        <f aca="false">BJ29+BJ30</f>
        <v>29070.770176</v>
      </c>
    </row>
    <row r="32" customFormat="false" ht="15" hidden="false" customHeight="false" outlineLevel="0" collapsed="false">
      <c r="A32" s="9" t="s">
        <v>207</v>
      </c>
      <c r="B32" s="9"/>
      <c r="C32" s="26" t="n">
        <f aca="false">C31*Assumptions!$F$39</f>
        <v>0</v>
      </c>
      <c r="D32" s="26" t="n">
        <f aca="false">D31*Assumptions!$F$39+C31*(1-Assumptions!$F$39)</f>
        <v>0</v>
      </c>
      <c r="E32" s="26" t="n">
        <f aca="false">E31*Assumptions!$F$39+D31*(1-Assumptions!$F$39)</f>
        <v>0</v>
      </c>
      <c r="F32" s="26" t="n">
        <f aca="false">F31*Assumptions!$F$39+E31*(1-Assumptions!$F$39)</f>
        <v>0</v>
      </c>
      <c r="G32" s="26" t="n">
        <f aca="false">G31*Assumptions!$F$39+F31*(1-Assumptions!$F$39)</f>
        <v>0</v>
      </c>
      <c r="H32" s="26" t="n">
        <f aca="false">H31*Assumptions!$F$39+G31*(1-Assumptions!$F$39)</f>
        <v>0</v>
      </c>
      <c r="I32" s="26" t="n">
        <f aca="false">I31*Assumptions!$F$39+H31*(1-Assumptions!$F$39)</f>
        <v>0</v>
      </c>
      <c r="J32" s="26" t="n">
        <f aca="false">J31*Assumptions!$F$39+I31*(1-Assumptions!$F$39)</f>
        <v>5824</v>
      </c>
      <c r="K32" s="26" t="n">
        <f aca="false">K31*Assumptions!$F$39+J31*(1-Assumptions!$F$39)</f>
        <v>8320</v>
      </c>
      <c r="L32" s="26" t="n">
        <f aca="false">L31*Assumptions!$F$39+K31*(1-Assumptions!$F$39)</f>
        <v>8320</v>
      </c>
      <c r="M32" s="26" t="n">
        <f aca="false">M31*Assumptions!$F$39+L31*(1-Assumptions!$F$39)</f>
        <v>8245.33333333333</v>
      </c>
      <c r="N32" s="26" t="n">
        <f aca="false">N31*Assumptions!$F$39+M31*(1-Assumptions!$F$39)</f>
        <v>7392</v>
      </c>
      <c r="O32" s="26" t="n">
        <f aca="false">O31*Assumptions!$F$39+N31*(1-Assumptions!$F$39)</f>
        <v>10408.0266666667</v>
      </c>
      <c r="P32" s="26" t="n">
        <f aca="false">P31*Assumptions!$F$39+O31*(1-Assumptions!$F$39)</f>
        <v>13900.32</v>
      </c>
      <c r="Q32" s="26" t="n">
        <f aca="false">Q31*Assumptions!$F$39+P31*(1-Assumptions!$F$39)</f>
        <v>16388.2133333333</v>
      </c>
      <c r="R32" s="26" t="n">
        <f aca="false">R31*Assumptions!$F$39+Q31*(1-Assumptions!$F$39)</f>
        <v>18148.5546666667</v>
      </c>
      <c r="S32" s="26" t="n">
        <f aca="false">S31*Assumptions!$F$39+R31*(1-Assumptions!$F$39)</f>
        <v>17357.088</v>
      </c>
      <c r="T32" s="26" t="n">
        <f aca="false">T31*Assumptions!$F$39+S31*(1-Assumptions!$F$39)</f>
        <v>16821.28</v>
      </c>
      <c r="U32" s="26" t="n">
        <f aca="false">U31*Assumptions!$F$39+T31*(1-Assumptions!$F$39)</f>
        <v>16821.28</v>
      </c>
      <c r="V32" s="26" t="n">
        <f aca="false">V31*Assumptions!$F$39+U31*(1-Assumptions!$F$39)</f>
        <v>23344.16</v>
      </c>
      <c r="W32" s="26" t="n">
        <f aca="false">W31*Assumptions!$F$39+V31*(1-Assumptions!$F$39)</f>
        <v>26139.68</v>
      </c>
      <c r="X32" s="26" t="n">
        <f aca="false">X31*Assumptions!$F$39+W31*(1-Assumptions!$F$39)</f>
        <v>24626.0373333333</v>
      </c>
      <c r="Y32" s="26" t="n">
        <f aca="false">Y31*Assumptions!$F$39+X31*(1-Assumptions!$F$39)</f>
        <v>19147.8933333333</v>
      </c>
      <c r="Z32" s="26" t="n">
        <f aca="false">Z31*Assumptions!$F$39+Y31*(1-Assumptions!$F$39)</f>
        <v>15468.32</v>
      </c>
      <c r="AA32" s="26" t="n">
        <f aca="false">AA31*Assumptions!$F$39+Z31*(1-Assumptions!$F$39)</f>
        <v>20656.048</v>
      </c>
      <c r="AB32" s="26" t="n">
        <f aca="false">AB31*Assumptions!$F$39+AA31*(1-Assumptions!$F$39)</f>
        <v>23175.04</v>
      </c>
      <c r="AC32" s="26" t="n">
        <f aca="false">AC31*Assumptions!$F$39+AB31*(1-Assumptions!$F$39)</f>
        <v>25750.7413333333</v>
      </c>
      <c r="AD32" s="26" t="n">
        <f aca="false">AD31*Assumptions!$F$39+AC31*(1-Assumptions!$F$39)</f>
        <v>29430.3146666667</v>
      </c>
      <c r="AE32" s="26" t="n">
        <f aca="false">AE31*Assumptions!$F$39+AD31*(1-Assumptions!$F$39)</f>
        <v>40836.992</v>
      </c>
      <c r="AF32" s="26" t="n">
        <f aca="false">AF31*Assumptions!$F$39+AE31*(1-Assumptions!$F$39)</f>
        <v>52979.584</v>
      </c>
      <c r="AG32" s="26" t="n">
        <f aca="false">AG31*Assumptions!$F$39+AF31*(1-Assumptions!$F$39)</f>
        <v>58866.9013333333</v>
      </c>
      <c r="AH32" s="26" t="n">
        <f aca="false">AH31*Assumptions!$F$39+AG31*(1-Assumptions!$F$39)</f>
        <v>49766.31296</v>
      </c>
      <c r="AI32" s="26" t="n">
        <f aca="false">AI31*Assumptions!$F$39+AH31*(1-Assumptions!$F$39)</f>
        <v>39225.33888</v>
      </c>
      <c r="AJ32" s="26" t="n">
        <f aca="false">AJ31*Assumptions!$F$39+AI31*(1-Assumptions!$F$39)</f>
        <v>36582.0672</v>
      </c>
      <c r="AK32" s="26" t="n">
        <f aca="false">AK31*Assumptions!$F$39+AJ31*(1-Assumptions!$F$39)</f>
        <v>29772.8494933333</v>
      </c>
      <c r="AL32" s="26" t="n">
        <f aca="false">AL31*Assumptions!$F$39+AK31*(1-Assumptions!$F$39)</f>
        <v>24278.912</v>
      </c>
      <c r="AM32" s="26" t="n">
        <f aca="false">AM31*Assumptions!$F$39+AL31*(1-Assumptions!$F$39)</f>
        <v>25121.74336</v>
      </c>
      <c r="AN32" s="26" t="n">
        <f aca="false">AN31*Assumptions!$F$39+AM31*(1-Assumptions!$F$39)</f>
        <v>25956.0448</v>
      </c>
      <c r="AO32" s="26" t="n">
        <f aca="false">AO31*Assumptions!$F$39+AN31*(1-Assumptions!$F$39)</f>
        <v>28840.8302933333</v>
      </c>
      <c r="AP32" s="26" t="n">
        <f aca="false">AP31*Assumptions!$F$39+AO31*(1-Assumptions!$F$39)</f>
        <v>32961.9524266667</v>
      </c>
      <c r="AQ32" s="26" t="n">
        <f aca="false">AQ31*Assumptions!$F$39+AP31*(1-Assumptions!$F$39)</f>
        <v>45737.43104</v>
      </c>
      <c r="AR32" s="26" t="n">
        <f aca="false">AR31*Assumptions!$F$39+AQ31*(1-Assumptions!$F$39)</f>
        <v>59337.13408</v>
      </c>
      <c r="AS32" s="26" t="n">
        <f aca="false">AS31*Assumptions!$F$39+AR31*(1-Assumptions!$F$39)</f>
        <v>65930.9294933334</v>
      </c>
      <c r="AT32" s="26" t="n">
        <f aca="false">AT31*Assumptions!$F$39+AS31*(1-Assumptions!$F$39)</f>
        <v>59771.7251413334</v>
      </c>
      <c r="AU32" s="26" t="n">
        <f aca="false">AU31*Assumptions!$F$39+AT31*(1-Assumptions!$F$39)</f>
        <v>45661.0029568</v>
      </c>
      <c r="AV32" s="26" t="n">
        <f aca="false">AV31*Assumptions!$F$39+AU31*(1-Assumptions!$F$39)</f>
        <v>40971.915264</v>
      </c>
      <c r="AW32" s="26" t="n">
        <f aca="false">AW31*Assumptions!$F$39+AV31*(1-Assumptions!$F$39)</f>
        <v>33345.5914325333</v>
      </c>
      <c r="AX32" s="26" t="n">
        <f aca="false">AX31*Assumptions!$F$39+AW31*(1-Assumptions!$F$39)</f>
        <v>27192.38144</v>
      </c>
      <c r="AY32" s="26" t="n">
        <f aca="false">AY31*Assumptions!$F$39+AX31*(1-Assumptions!$F$39)</f>
        <v>28136.3525632</v>
      </c>
      <c r="AZ32" s="26" t="n">
        <f aca="false">AZ31*Assumptions!$F$39+AY31*(1-Assumptions!$F$39)</f>
        <v>29070.770176</v>
      </c>
      <c r="BA32" s="26" t="n">
        <f aca="false">BA31*Assumptions!$F$39+AZ31*(1-Assumptions!$F$39)</f>
        <v>32301.7299285333</v>
      </c>
      <c r="BB32" s="26" t="n">
        <f aca="false">BB31*Assumptions!$F$39+BA31*(1-Assumptions!$F$39)</f>
        <v>36917.3867178667</v>
      </c>
      <c r="BC32" s="26" t="n">
        <f aca="false">BC31*Assumptions!$F$39+BB31*(1-Assumptions!$F$39)</f>
        <v>51225.9227648</v>
      </c>
      <c r="BD32" s="26" t="n">
        <f aca="false">BD31*Assumptions!$F$39+BC31*(1-Assumptions!$F$39)</f>
        <v>66457.5901696</v>
      </c>
      <c r="BE32" s="26" t="n">
        <f aca="false">BE31*Assumptions!$F$39+BD31*(1-Assumptions!$F$39)</f>
        <v>73842.6410325334</v>
      </c>
      <c r="BF32" s="26" t="n">
        <f aca="false">BF31*Assumptions!$F$39+BE31*(1-Assumptions!$F$39)</f>
        <v>66944.3321582934</v>
      </c>
      <c r="BG32" s="26" t="n">
        <f aca="false">BG31*Assumptions!$F$39+BF31*(1-Assumptions!$F$39)</f>
        <v>51140.323311616</v>
      </c>
      <c r="BH32" s="26" t="n">
        <f aca="false">BH31*Assumptions!$F$39+BG31*(1-Assumptions!$F$39)</f>
        <v>45888.54509568</v>
      </c>
      <c r="BI32" s="26" t="n">
        <f aca="false">BI31*Assumptions!$F$39+BH31*(1-Assumptions!$F$39)</f>
        <v>37347.0624044374</v>
      </c>
      <c r="BJ32" s="26" t="n">
        <f aca="false">BJ31*Assumptions!$F$39+BI31*(1-Assumptions!$F$39)</f>
        <v>30455.4672128</v>
      </c>
    </row>
    <row r="33" customFormat="false" ht="15" hidden="false" customHeight="false" outlineLevel="0" collapsed="false">
      <c r="A33" s="9" t="s">
        <v>208</v>
      </c>
      <c r="B33" s="9"/>
      <c r="C33" s="26" t="n">
        <f aca="false">C31-C32</f>
        <v>0</v>
      </c>
      <c r="D33" s="26" t="n">
        <f aca="false">C33+D31-D32</f>
        <v>0</v>
      </c>
      <c r="E33" s="26" t="n">
        <f aca="false">D33+E31-E32</f>
        <v>0</v>
      </c>
      <c r="F33" s="26" t="n">
        <f aca="false">E33+F31-F32</f>
        <v>0</v>
      </c>
      <c r="G33" s="26" t="n">
        <f aca="false">F33+G31-G32</f>
        <v>0</v>
      </c>
      <c r="H33" s="26" t="n">
        <f aca="false">G33+H31-H32</f>
        <v>0</v>
      </c>
      <c r="I33" s="26" t="n">
        <f aca="false">H33+I31-I32</f>
        <v>0</v>
      </c>
      <c r="J33" s="26" t="n">
        <f aca="false">I33+J31-J32</f>
        <v>2496</v>
      </c>
      <c r="K33" s="26" t="n">
        <f aca="false">J33+K31-K32</f>
        <v>2496</v>
      </c>
      <c r="L33" s="26" t="n">
        <f aca="false">K33+L31-L32</f>
        <v>2496</v>
      </c>
      <c r="M33" s="26" t="n">
        <f aca="false">L33+M31-M32</f>
        <v>2464</v>
      </c>
      <c r="N33" s="26" t="n">
        <f aca="false">M33+N31-N32</f>
        <v>2112</v>
      </c>
      <c r="O33" s="26" t="n">
        <f aca="false">N33+O31-O32</f>
        <v>3555.44</v>
      </c>
      <c r="P33" s="26" t="n">
        <f aca="false">O33+P31-P32</f>
        <v>4433.52</v>
      </c>
      <c r="Q33" s="26" t="n">
        <f aca="false">P33+Q31-Q32</f>
        <v>5123.44</v>
      </c>
      <c r="R33" s="26" t="n">
        <f aca="false">Q33+R31-R32</f>
        <v>5582.192</v>
      </c>
      <c r="S33" s="26" t="n">
        <f aca="false">R33+S31-S32</f>
        <v>5046.384</v>
      </c>
      <c r="T33" s="26" t="n">
        <f aca="false">S33+T31-T32</f>
        <v>5046.384</v>
      </c>
      <c r="U33" s="26" t="n">
        <f aca="false">T33+U31-U32</f>
        <v>5046.384</v>
      </c>
      <c r="V33" s="26" t="n">
        <f aca="false">U33+V31-V32</f>
        <v>7841.904</v>
      </c>
      <c r="W33" s="26" t="n">
        <f aca="false">V33+W31-W32</f>
        <v>7841.90400000001</v>
      </c>
      <c r="X33" s="26" t="n">
        <f aca="false">W33+X31-X32</f>
        <v>7193.2</v>
      </c>
      <c r="Y33" s="26" t="n">
        <f aca="false">X33+Y31-Y32</f>
        <v>5123.44</v>
      </c>
      <c r="Z33" s="26" t="n">
        <f aca="false">Y33+Z31-Z32</f>
        <v>4433.52</v>
      </c>
      <c r="AA33" s="26" t="n">
        <f aca="false">Z33+AA31-AA32</f>
        <v>6952.512</v>
      </c>
      <c r="AB33" s="26" t="n">
        <f aca="false">AA33+AB31-AB32</f>
        <v>6952.512</v>
      </c>
      <c r="AC33" s="26" t="n">
        <f aca="false">AB33+AC31-AC32</f>
        <v>8056.384</v>
      </c>
      <c r="AD33" s="26" t="n">
        <f aca="false">AC33+AD31-AD32</f>
        <v>9160.25599999999</v>
      </c>
      <c r="AE33" s="26" t="n">
        <f aca="false">AD33+AE31-AE32</f>
        <v>13575.744</v>
      </c>
      <c r="AF33" s="26" t="n">
        <f aca="false">AE33+AF31-AF32</f>
        <v>16887.36</v>
      </c>
      <c r="AG33" s="26" t="n">
        <f aca="false">AF33+AG31-AG32</f>
        <v>17991.232</v>
      </c>
      <c r="AH33" s="26" t="n">
        <f aca="false">AG33+AH31-AH32</f>
        <v>13617.89184</v>
      </c>
      <c r="AI33" s="26" t="n">
        <f aca="false">AH33+AI31-AI32</f>
        <v>10974.62016</v>
      </c>
      <c r="AJ33" s="26" t="n">
        <f aca="false">AI33+AJ31-AJ32</f>
        <v>10974.62016</v>
      </c>
      <c r="AK33" s="26" t="n">
        <f aca="false">AJ33+AK31-AK32</f>
        <v>8056.38399999999</v>
      </c>
      <c r="AL33" s="26" t="n">
        <f aca="false">AK33+AL31-AL32</f>
        <v>6952.51199999999</v>
      </c>
      <c r="AM33" s="26" t="n">
        <f aca="false">AL33+AM31-AM32</f>
        <v>7786.81343999998</v>
      </c>
      <c r="AN33" s="26" t="n">
        <f aca="false">AM33+AN31-AN32</f>
        <v>7786.81343999998</v>
      </c>
      <c r="AO33" s="26" t="n">
        <f aca="false">AN33+AO31-AO32</f>
        <v>9023.15007999998</v>
      </c>
      <c r="AP33" s="26" t="n">
        <f aca="false">AO33+AP31-AP32</f>
        <v>10259.48672</v>
      </c>
      <c r="AQ33" s="26" t="n">
        <f aca="false">AP33+AQ31-AQ32</f>
        <v>15204.83328</v>
      </c>
      <c r="AR33" s="26" t="n">
        <f aca="false">AQ33+AR31-AR32</f>
        <v>18913.8432</v>
      </c>
      <c r="AS33" s="26" t="n">
        <f aca="false">AR33+AS31-AS32</f>
        <v>20150.17984</v>
      </c>
      <c r="AT33" s="26" t="n">
        <f aca="false">AS33+AT31-AT32</f>
        <v>16980.662272</v>
      </c>
      <c r="AU33" s="26" t="n">
        <f aca="false">AT33+AU31-AU32</f>
        <v>12291.5745792</v>
      </c>
      <c r="AV33" s="26" t="n">
        <f aca="false">AU33+AV31-AV32</f>
        <v>12291.5745792</v>
      </c>
      <c r="AW33" s="26" t="n">
        <f aca="false">AV33+AW31-AW32</f>
        <v>9023.15007999999</v>
      </c>
      <c r="AX33" s="26" t="n">
        <f aca="false">AW33+AX31-AX32</f>
        <v>7786.81343999999</v>
      </c>
      <c r="AY33" s="26" t="n">
        <f aca="false">AX33+AY31-AY32</f>
        <v>8721.23105279999</v>
      </c>
      <c r="AZ33" s="26" t="n">
        <f aca="false">AY33+AZ31-AZ32</f>
        <v>8721.23105279999</v>
      </c>
      <c r="BA33" s="26" t="n">
        <f aca="false">AZ33+BA31-BA32</f>
        <v>10105.9280896</v>
      </c>
      <c r="BB33" s="26" t="n">
        <f aca="false">BA33+BB31-BB32</f>
        <v>11490.6251264</v>
      </c>
      <c r="BC33" s="26" t="n">
        <f aca="false">BB33+BC31-BC32</f>
        <v>17029.4132736</v>
      </c>
      <c r="BD33" s="26" t="n">
        <f aca="false">BC33+BD31-BD32</f>
        <v>21183.504384</v>
      </c>
      <c r="BE33" s="26" t="n">
        <f aca="false">BD33+BE31-BE32</f>
        <v>22568.2014208</v>
      </c>
      <c r="BF33" s="26" t="n">
        <f aca="false">BE33+BF31-BF32</f>
        <v>19018.34174464</v>
      </c>
      <c r="BG33" s="26" t="n">
        <f aca="false">BF33+BG31-BG32</f>
        <v>13766.563528704</v>
      </c>
      <c r="BH33" s="26" t="n">
        <f aca="false">BG33+BH31-BH32</f>
        <v>13766.563528704</v>
      </c>
      <c r="BI33" s="26" t="n">
        <f aca="false">BH33+BI31-BI32</f>
        <v>10105.9280896</v>
      </c>
      <c r="BJ33" s="26" t="n">
        <f aca="false">BI33+BJ31-BJ32</f>
        <v>8721.23105279998</v>
      </c>
    </row>
    <row r="34" customFormat="false" ht="15" hidden="false" customHeight="false" outlineLevel="0" collapsed="false">
      <c r="A34" s="7" t="s">
        <v>209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customFormat="false" ht="15" hidden="false" customHeight="false" outlineLevel="0" collapsed="false">
      <c r="A35" s="9" t="s">
        <v>210</v>
      </c>
      <c r="B35" s="9"/>
      <c r="C35" s="26" t="n">
        <f aca="false">C16*Assumptions!$F$30*C8</f>
        <v>0</v>
      </c>
      <c r="D35" s="26" t="n">
        <f aca="false">D16*Assumptions!$F$30*D8</f>
        <v>0</v>
      </c>
      <c r="E35" s="26" t="n">
        <f aca="false">E16*Assumptions!$F$30*E8</f>
        <v>0</v>
      </c>
      <c r="F35" s="26" t="n">
        <f aca="false">F16*Assumptions!$F$30*F8</f>
        <v>0</v>
      </c>
      <c r="G35" s="26" t="n">
        <f aca="false">G16*Assumptions!$F$30*G8</f>
        <v>0</v>
      </c>
      <c r="H35" s="26" t="n">
        <f aca="false">H16*Assumptions!$F$30*H8</f>
        <v>0</v>
      </c>
      <c r="I35" s="26" t="n">
        <f aca="false">I16*Assumptions!$F$30*I8</f>
        <v>66.6666666666667</v>
      </c>
      <c r="J35" s="26" t="n">
        <f aca="false">J16*Assumptions!$F$30*J8</f>
        <v>66.6666666666667</v>
      </c>
      <c r="K35" s="26" t="n">
        <f aca="false">K16*Assumptions!$F$30*K8</f>
        <v>66.6666666666667</v>
      </c>
      <c r="L35" s="26" t="n">
        <f aca="false">L16*Assumptions!$F$30*L8</f>
        <v>66.6666666666667</v>
      </c>
      <c r="M35" s="26" t="n">
        <f aca="false">M16*Assumptions!$F$30*M8</f>
        <v>66.6666666666667</v>
      </c>
      <c r="N35" s="26" t="n">
        <f aca="false">N16*Assumptions!$F$30*N8</f>
        <v>66.6666666666667</v>
      </c>
      <c r="O35" s="26" t="n">
        <f aca="false">O16*Assumptions!$F$30*O8</f>
        <v>74.6666666666667</v>
      </c>
      <c r="P35" s="26" t="n">
        <f aca="false">P16*Assumptions!$F$30*P8</f>
        <v>74.6666666666667</v>
      </c>
      <c r="Q35" s="26" t="n">
        <f aca="false">Q16*Assumptions!$F$30*Q8</f>
        <v>74.6666666666667</v>
      </c>
      <c r="R35" s="26" t="n">
        <f aca="false">R16*Assumptions!$F$30*R8</f>
        <v>74.6666666666667</v>
      </c>
      <c r="S35" s="26" t="n">
        <f aca="false">S16*Assumptions!$F$30*S8</f>
        <v>74.6666666666667</v>
      </c>
      <c r="T35" s="26" t="n">
        <f aca="false">T16*Assumptions!$F$30*T8</f>
        <v>74.6666666666667</v>
      </c>
      <c r="U35" s="26" t="n">
        <f aca="false">U16*Assumptions!$F$30*U8</f>
        <v>74.6666666666667</v>
      </c>
      <c r="V35" s="26" t="n">
        <f aca="false">V16*Assumptions!$F$30*V8</f>
        <v>74.6666666666667</v>
      </c>
      <c r="W35" s="26" t="n">
        <f aca="false">W16*Assumptions!$F$30*W8</f>
        <v>74.6666666666667</v>
      </c>
      <c r="X35" s="26" t="n">
        <f aca="false">X16*Assumptions!$F$30*X8</f>
        <v>74.6666666666667</v>
      </c>
      <c r="Y35" s="26" t="n">
        <f aca="false">Y16*Assumptions!$F$30*Y8</f>
        <v>74.6666666666667</v>
      </c>
      <c r="Z35" s="26" t="n">
        <f aca="false">Z16*Assumptions!$F$30*Z8</f>
        <v>74.6666666666667</v>
      </c>
      <c r="AA35" s="26" t="n">
        <f aca="false">AA16*Assumptions!$F$30*AA8</f>
        <v>83.6266666666667</v>
      </c>
      <c r="AB35" s="26" t="n">
        <f aca="false">AB16*Assumptions!$F$30*AB8</f>
        <v>83.6266666666667</v>
      </c>
      <c r="AC35" s="26" t="n">
        <f aca="false">AC16*Assumptions!$F$30*AC8</f>
        <v>83.6266666666667</v>
      </c>
      <c r="AD35" s="26" t="n">
        <f aca="false">AD16*Assumptions!$F$30*AD8</f>
        <v>83.6266666666667</v>
      </c>
      <c r="AE35" s="26" t="n">
        <f aca="false">AE16*Assumptions!$F$30*AE8</f>
        <v>83.6266666666667</v>
      </c>
      <c r="AF35" s="26" t="n">
        <f aca="false">AF16*Assumptions!$F$30*AF8</f>
        <v>83.6266666666667</v>
      </c>
      <c r="AG35" s="26" t="n">
        <f aca="false">AG16*Assumptions!$F$30*AG8</f>
        <v>83.6266666666667</v>
      </c>
      <c r="AH35" s="26" t="n">
        <f aca="false">AH16*Assumptions!$F$30*AH8</f>
        <v>83.6266666666667</v>
      </c>
      <c r="AI35" s="26" t="n">
        <f aca="false">AI16*Assumptions!$F$30*AI8</f>
        <v>83.6266666666667</v>
      </c>
      <c r="AJ35" s="26" t="n">
        <f aca="false">AJ16*Assumptions!$F$30*AJ8</f>
        <v>83.6266666666667</v>
      </c>
      <c r="AK35" s="26" t="n">
        <f aca="false">AK16*Assumptions!$F$30*AK8</f>
        <v>83.6266666666667</v>
      </c>
      <c r="AL35" s="26" t="n">
        <f aca="false">AL16*Assumptions!$F$30*AL8</f>
        <v>83.6266666666667</v>
      </c>
      <c r="AM35" s="26" t="n">
        <f aca="false">AM16*Assumptions!$F$30*AM8</f>
        <v>93.6618666666667</v>
      </c>
      <c r="AN35" s="26" t="n">
        <f aca="false">AN16*Assumptions!$F$30*AN8</f>
        <v>93.6618666666667</v>
      </c>
      <c r="AO35" s="26" t="n">
        <f aca="false">AO16*Assumptions!$F$30*AO8</f>
        <v>93.6618666666667</v>
      </c>
      <c r="AP35" s="26" t="n">
        <f aca="false">AP16*Assumptions!$F$30*AP8</f>
        <v>93.6618666666667</v>
      </c>
      <c r="AQ35" s="26" t="n">
        <f aca="false">AQ16*Assumptions!$F$30*AQ8</f>
        <v>93.6618666666667</v>
      </c>
      <c r="AR35" s="26" t="n">
        <f aca="false">AR16*Assumptions!$F$30*AR8</f>
        <v>93.6618666666667</v>
      </c>
      <c r="AS35" s="26" t="n">
        <f aca="false">AS16*Assumptions!$F$30*AS8</f>
        <v>93.6618666666667</v>
      </c>
      <c r="AT35" s="26" t="n">
        <f aca="false">AT16*Assumptions!$F$30*AT8</f>
        <v>93.6618666666667</v>
      </c>
      <c r="AU35" s="26" t="n">
        <f aca="false">AU16*Assumptions!$F$30*AU8</f>
        <v>93.6618666666667</v>
      </c>
      <c r="AV35" s="26" t="n">
        <f aca="false">AV16*Assumptions!$F$30*AV8</f>
        <v>93.6618666666667</v>
      </c>
      <c r="AW35" s="26" t="n">
        <f aca="false">AW16*Assumptions!$F$30*AW8</f>
        <v>93.6618666666667</v>
      </c>
      <c r="AX35" s="26" t="n">
        <f aca="false">AX16*Assumptions!$F$30*AX8</f>
        <v>93.6618666666667</v>
      </c>
      <c r="AY35" s="26" t="n">
        <f aca="false">AY16*Assumptions!$F$30*AY8</f>
        <v>104.901290666667</v>
      </c>
      <c r="AZ35" s="26" t="n">
        <f aca="false">AZ16*Assumptions!$F$30*AZ8</f>
        <v>104.901290666667</v>
      </c>
      <c r="BA35" s="26" t="n">
        <f aca="false">BA16*Assumptions!$F$30*BA8</f>
        <v>104.901290666667</v>
      </c>
      <c r="BB35" s="26" t="n">
        <f aca="false">BB16*Assumptions!$F$30*BB8</f>
        <v>104.901290666667</v>
      </c>
      <c r="BC35" s="26" t="n">
        <f aca="false">BC16*Assumptions!$F$30*BC8</f>
        <v>104.901290666667</v>
      </c>
      <c r="BD35" s="26" t="n">
        <f aca="false">BD16*Assumptions!$F$30*BD8</f>
        <v>104.901290666667</v>
      </c>
      <c r="BE35" s="26" t="n">
        <f aca="false">BE16*Assumptions!$F$30*BE8</f>
        <v>104.901290666667</v>
      </c>
      <c r="BF35" s="26" t="n">
        <f aca="false">BF16*Assumptions!$F$30*BF8</f>
        <v>104.901290666667</v>
      </c>
      <c r="BG35" s="26" t="n">
        <f aca="false">BG16*Assumptions!$F$30*BG8</f>
        <v>104.901290666667</v>
      </c>
      <c r="BH35" s="26" t="n">
        <f aca="false">BH16*Assumptions!$F$30*BH8</f>
        <v>104.901290666667</v>
      </c>
      <c r="BI35" s="26" t="n">
        <f aca="false">BI16*Assumptions!$F$30*BI8</f>
        <v>104.901290666667</v>
      </c>
      <c r="BJ35" s="26" t="n">
        <f aca="false">BJ16*Assumptions!$F$30*BJ8</f>
        <v>104.901290666667</v>
      </c>
    </row>
    <row r="36" customFormat="false" ht="15" hidden="false" customHeight="false" outlineLevel="0" collapsed="false">
      <c r="A36" s="9" t="s">
        <v>211</v>
      </c>
      <c r="B36" s="9"/>
      <c r="C36" s="26" t="n">
        <f aca="false">C17*Assumptions!$F$31*C8</f>
        <v>0</v>
      </c>
      <c r="D36" s="26" t="n">
        <f aca="false">D17*Assumptions!$F$31*D8</f>
        <v>0</v>
      </c>
      <c r="E36" s="26" t="n">
        <f aca="false">E17*Assumptions!$F$31*E8</f>
        <v>0</v>
      </c>
      <c r="F36" s="26" t="n">
        <f aca="false">F17*Assumptions!$F$31*F8</f>
        <v>0</v>
      </c>
      <c r="G36" s="26" t="n">
        <f aca="false">G17*Assumptions!$F$31*G8</f>
        <v>1333.33333333333</v>
      </c>
      <c r="H36" s="26" t="n">
        <f aca="false">H17*Assumptions!$F$31*H8</f>
        <v>1333.33333333333</v>
      </c>
      <c r="I36" s="26" t="n">
        <f aca="false">I17*Assumptions!$F$31*I8</f>
        <v>1000</v>
      </c>
      <c r="J36" s="26" t="n">
        <f aca="false">J17*Assumptions!$F$31*J8</f>
        <v>1000</v>
      </c>
      <c r="K36" s="26" t="n">
        <f aca="false">K17*Assumptions!$F$31*K8</f>
        <v>1000</v>
      </c>
      <c r="L36" s="26" t="n">
        <f aca="false">L17*Assumptions!$F$31*L8</f>
        <v>1000</v>
      </c>
      <c r="M36" s="26" t="n">
        <f aca="false">M17*Assumptions!$F$31*M8</f>
        <v>1933.33333333333</v>
      </c>
      <c r="N36" s="26" t="n">
        <f aca="false">N17*Assumptions!$F$31*N8</f>
        <v>1933.33333333333</v>
      </c>
      <c r="O36" s="26" t="n">
        <f aca="false">O17*Assumptions!$F$31*O8</f>
        <v>2165.33333333333</v>
      </c>
      <c r="P36" s="26" t="n">
        <f aca="false">P17*Assumptions!$F$31*P8</f>
        <v>2165.33333333333</v>
      </c>
      <c r="Q36" s="26" t="n">
        <f aca="false">Q17*Assumptions!$F$31*Q8</f>
        <v>2165.33333333333</v>
      </c>
      <c r="R36" s="26" t="n">
        <f aca="false">R17*Assumptions!$F$31*R8</f>
        <v>2165.33333333333</v>
      </c>
      <c r="S36" s="26" t="n">
        <f aca="false">S17*Assumptions!$F$31*S8</f>
        <v>3658.66666666667</v>
      </c>
      <c r="T36" s="26" t="n">
        <f aca="false">T17*Assumptions!$F$31*T8</f>
        <v>3658.66666666667</v>
      </c>
      <c r="U36" s="26" t="n">
        <f aca="false">U17*Assumptions!$F$31*U8</f>
        <v>3658.66666666667</v>
      </c>
      <c r="V36" s="26" t="n">
        <f aca="false">V17*Assumptions!$F$31*V8</f>
        <v>3658.66666666667</v>
      </c>
      <c r="W36" s="26" t="n">
        <f aca="false">W17*Assumptions!$F$31*W8</f>
        <v>3658.66666666667</v>
      </c>
      <c r="X36" s="26" t="n">
        <f aca="false">X17*Assumptions!$F$31*X8</f>
        <v>3658.66666666667</v>
      </c>
      <c r="Y36" s="26" t="n">
        <f aca="false">Y17*Assumptions!$F$31*Y8</f>
        <v>4704</v>
      </c>
      <c r="Z36" s="26" t="n">
        <f aca="false">Z17*Assumptions!$F$31*Z8</f>
        <v>4704</v>
      </c>
      <c r="AA36" s="26" t="n">
        <f aca="false">AA17*Assumptions!$F$31*AA8</f>
        <v>5268.48</v>
      </c>
      <c r="AB36" s="26" t="n">
        <f aca="false">AB17*Assumptions!$F$31*AB8</f>
        <v>5268.48</v>
      </c>
      <c r="AC36" s="26" t="n">
        <f aca="false">AC17*Assumptions!$F$31*AC8</f>
        <v>5268.48</v>
      </c>
      <c r="AD36" s="26" t="n">
        <f aca="false">AD17*Assumptions!$F$31*AD8</f>
        <v>5268.48</v>
      </c>
      <c r="AE36" s="26" t="n">
        <f aca="false">AE17*Assumptions!$F$31*AE8</f>
        <v>5268.48</v>
      </c>
      <c r="AF36" s="26" t="n">
        <f aca="false">AF17*Assumptions!$F$31*AF8</f>
        <v>5268.48</v>
      </c>
      <c r="AG36" s="26" t="n">
        <f aca="false">AG17*Assumptions!$F$31*AG8</f>
        <v>5268.48</v>
      </c>
      <c r="AH36" s="26" t="n">
        <f aca="false">AH17*Assumptions!$F$31*AH8</f>
        <v>5268.48</v>
      </c>
      <c r="AI36" s="26" t="n">
        <f aca="false">AI17*Assumptions!$F$31*AI8</f>
        <v>5268.48</v>
      </c>
      <c r="AJ36" s="26" t="n">
        <f aca="false">AJ17*Assumptions!$F$31*AJ8</f>
        <v>5268.48</v>
      </c>
      <c r="AK36" s="26" t="n">
        <f aca="false">AK17*Assumptions!$F$31*AK8</f>
        <v>5268.48</v>
      </c>
      <c r="AL36" s="26" t="n">
        <f aca="false">AL17*Assumptions!$F$31*AL8</f>
        <v>5268.48</v>
      </c>
      <c r="AM36" s="26" t="n">
        <f aca="false">AM17*Assumptions!$F$31*AM8</f>
        <v>5900.6976</v>
      </c>
      <c r="AN36" s="26" t="n">
        <f aca="false">AN17*Assumptions!$F$31*AN8</f>
        <v>5900.6976</v>
      </c>
      <c r="AO36" s="26" t="n">
        <f aca="false">AO17*Assumptions!$F$31*AO8</f>
        <v>5900.6976</v>
      </c>
      <c r="AP36" s="26" t="n">
        <f aca="false">AP17*Assumptions!$F$31*AP8</f>
        <v>5900.6976</v>
      </c>
      <c r="AQ36" s="26" t="n">
        <f aca="false">AQ17*Assumptions!$F$31*AQ8</f>
        <v>5900.6976</v>
      </c>
      <c r="AR36" s="26" t="n">
        <f aca="false">AR17*Assumptions!$F$31*AR8</f>
        <v>5900.6976</v>
      </c>
      <c r="AS36" s="26" t="n">
        <f aca="false">AS17*Assumptions!$F$31*AS8</f>
        <v>5900.6976</v>
      </c>
      <c r="AT36" s="26" t="n">
        <f aca="false">AT17*Assumptions!$F$31*AT8</f>
        <v>5900.6976</v>
      </c>
      <c r="AU36" s="26" t="n">
        <f aca="false">AU17*Assumptions!$F$31*AU8</f>
        <v>5900.6976</v>
      </c>
      <c r="AV36" s="26" t="n">
        <f aca="false">AV17*Assumptions!$F$31*AV8</f>
        <v>5900.6976</v>
      </c>
      <c r="AW36" s="26" t="n">
        <f aca="false">AW17*Assumptions!$F$31*AW8</f>
        <v>5900.6976</v>
      </c>
      <c r="AX36" s="26" t="n">
        <f aca="false">AX17*Assumptions!$F$31*AX8</f>
        <v>5900.6976</v>
      </c>
      <c r="AY36" s="26" t="n">
        <f aca="false">AY17*Assumptions!$F$31*AY8</f>
        <v>6608.781312</v>
      </c>
      <c r="AZ36" s="26" t="n">
        <f aca="false">AZ17*Assumptions!$F$31*AZ8</f>
        <v>6608.781312</v>
      </c>
      <c r="BA36" s="26" t="n">
        <f aca="false">BA17*Assumptions!$F$31*BA8</f>
        <v>6608.781312</v>
      </c>
      <c r="BB36" s="26" t="n">
        <f aca="false">BB17*Assumptions!$F$31*BB8</f>
        <v>6608.781312</v>
      </c>
      <c r="BC36" s="26" t="n">
        <f aca="false">BC17*Assumptions!$F$31*BC8</f>
        <v>6608.781312</v>
      </c>
      <c r="BD36" s="26" t="n">
        <f aca="false">BD17*Assumptions!$F$31*BD8</f>
        <v>6608.781312</v>
      </c>
      <c r="BE36" s="26" t="n">
        <f aca="false">BE17*Assumptions!$F$31*BE8</f>
        <v>6608.781312</v>
      </c>
      <c r="BF36" s="26" t="n">
        <f aca="false">BF17*Assumptions!$F$31*BF8</f>
        <v>6608.781312</v>
      </c>
      <c r="BG36" s="26" t="n">
        <f aca="false">BG17*Assumptions!$F$31*BG8</f>
        <v>6608.781312</v>
      </c>
      <c r="BH36" s="26" t="n">
        <f aca="false">BH17*Assumptions!$F$31*BH8</f>
        <v>6608.781312</v>
      </c>
      <c r="BI36" s="26" t="n">
        <f aca="false">BI17*Assumptions!$F$31*BI8</f>
        <v>6608.781312</v>
      </c>
      <c r="BJ36" s="26" t="n">
        <f aca="false">BJ17*Assumptions!$F$31*BJ8</f>
        <v>6608.781312</v>
      </c>
    </row>
    <row r="37" customFormat="false" ht="15" hidden="false" customHeight="false" outlineLevel="0" collapsed="false">
      <c r="A37" s="9" t="s">
        <v>212</v>
      </c>
      <c r="B37" s="9"/>
      <c r="C37" s="26" t="n">
        <f aca="false">C15*Assumptions!$F$58*C8</f>
        <v>0</v>
      </c>
      <c r="D37" s="26" t="n">
        <f aca="false">D15*Assumptions!$F$58*D8</f>
        <v>0</v>
      </c>
      <c r="E37" s="26" t="n">
        <f aca="false">E15*Assumptions!$F$58*E8</f>
        <v>0</v>
      </c>
      <c r="F37" s="26" t="n">
        <f aca="false">F15*Assumptions!$F$58*F8</f>
        <v>0</v>
      </c>
      <c r="G37" s="26" t="n">
        <f aca="false">G15*Assumptions!$F$58*G8</f>
        <v>400</v>
      </c>
      <c r="H37" s="26" t="n">
        <f aca="false">H15*Assumptions!$F$58*H8</f>
        <v>400</v>
      </c>
      <c r="I37" s="26" t="n">
        <f aca="false">I15*Assumptions!$F$58*I8</f>
        <v>400</v>
      </c>
      <c r="J37" s="26" t="n">
        <f aca="false">J15*Assumptions!$F$58*J8</f>
        <v>400</v>
      </c>
      <c r="K37" s="26" t="n">
        <f aca="false">K15*Assumptions!$F$58*K8</f>
        <v>400</v>
      </c>
      <c r="L37" s="26" t="n">
        <f aca="false">L15*Assumptions!$F$58*L8</f>
        <v>400</v>
      </c>
      <c r="M37" s="26" t="n">
        <f aca="false">M15*Assumptions!$F$58*M8</f>
        <v>680</v>
      </c>
      <c r="N37" s="26" t="n">
        <f aca="false">N15*Assumptions!$F$58*N8</f>
        <v>680</v>
      </c>
      <c r="O37" s="26" t="n">
        <f aca="false">O15*Assumptions!$F$58*O8</f>
        <v>761.6</v>
      </c>
      <c r="P37" s="26" t="n">
        <f aca="false">P15*Assumptions!$F$58*P8</f>
        <v>761.6</v>
      </c>
      <c r="Q37" s="26" t="n">
        <f aca="false">Q15*Assumptions!$F$58*Q8</f>
        <v>761.6</v>
      </c>
      <c r="R37" s="26" t="n">
        <f aca="false">R15*Assumptions!$F$58*R8</f>
        <v>761.6</v>
      </c>
      <c r="S37" s="26" t="n">
        <f aca="false">S15*Assumptions!$F$58*S8</f>
        <v>1209.6</v>
      </c>
      <c r="T37" s="26" t="n">
        <f aca="false">T15*Assumptions!$F$58*T8</f>
        <v>1209.6</v>
      </c>
      <c r="U37" s="26" t="n">
        <f aca="false">U15*Assumptions!$F$58*U8</f>
        <v>1209.6</v>
      </c>
      <c r="V37" s="26" t="n">
        <f aca="false">V15*Assumptions!$F$58*V8</f>
        <v>1209.6</v>
      </c>
      <c r="W37" s="26" t="n">
        <f aca="false">W15*Assumptions!$F$58*W8</f>
        <v>1209.6</v>
      </c>
      <c r="X37" s="26" t="n">
        <f aca="false">X15*Assumptions!$F$58*X8</f>
        <v>1209.6</v>
      </c>
      <c r="Y37" s="26" t="n">
        <f aca="false">Y15*Assumptions!$F$58*Y8</f>
        <v>1523.2</v>
      </c>
      <c r="Z37" s="26" t="n">
        <f aca="false">Z15*Assumptions!$F$58*Z8</f>
        <v>1523.2</v>
      </c>
      <c r="AA37" s="26" t="n">
        <f aca="false">AA15*Assumptions!$F$58*AA8</f>
        <v>1705.984</v>
      </c>
      <c r="AB37" s="26" t="n">
        <f aca="false">AB15*Assumptions!$F$58*AB8</f>
        <v>1705.984</v>
      </c>
      <c r="AC37" s="26" t="n">
        <f aca="false">AC15*Assumptions!$F$58*AC8</f>
        <v>1705.984</v>
      </c>
      <c r="AD37" s="26" t="n">
        <f aca="false">AD15*Assumptions!$F$58*AD8</f>
        <v>1705.984</v>
      </c>
      <c r="AE37" s="26" t="n">
        <f aca="false">AE15*Assumptions!$F$58*AE8</f>
        <v>1705.984</v>
      </c>
      <c r="AF37" s="26" t="n">
        <f aca="false">AF15*Assumptions!$F$58*AF8</f>
        <v>1705.984</v>
      </c>
      <c r="AG37" s="26" t="n">
        <f aca="false">AG15*Assumptions!$F$58*AG8</f>
        <v>1705.984</v>
      </c>
      <c r="AH37" s="26" t="n">
        <f aca="false">AH15*Assumptions!$F$58*AH8</f>
        <v>1705.984</v>
      </c>
      <c r="AI37" s="26" t="n">
        <f aca="false">AI15*Assumptions!$F$58*AI8</f>
        <v>1705.984</v>
      </c>
      <c r="AJ37" s="26" t="n">
        <f aca="false">AJ15*Assumptions!$F$58*AJ8</f>
        <v>1705.984</v>
      </c>
      <c r="AK37" s="26" t="n">
        <f aca="false">AK15*Assumptions!$F$58*AK8</f>
        <v>1705.984</v>
      </c>
      <c r="AL37" s="26" t="n">
        <f aca="false">AL15*Assumptions!$F$58*AL8</f>
        <v>1705.984</v>
      </c>
      <c r="AM37" s="26" t="n">
        <f aca="false">AM15*Assumptions!$F$58*AM8</f>
        <v>1910.70208</v>
      </c>
      <c r="AN37" s="26" t="n">
        <f aca="false">AN15*Assumptions!$F$58*AN8</f>
        <v>1910.70208</v>
      </c>
      <c r="AO37" s="26" t="n">
        <f aca="false">AO15*Assumptions!$F$58*AO8</f>
        <v>1910.70208</v>
      </c>
      <c r="AP37" s="26" t="n">
        <f aca="false">AP15*Assumptions!$F$58*AP8</f>
        <v>1910.70208</v>
      </c>
      <c r="AQ37" s="26" t="n">
        <f aca="false">AQ15*Assumptions!$F$58*AQ8</f>
        <v>1910.70208</v>
      </c>
      <c r="AR37" s="26" t="n">
        <f aca="false">AR15*Assumptions!$F$58*AR8</f>
        <v>1910.70208</v>
      </c>
      <c r="AS37" s="26" t="n">
        <f aca="false">AS15*Assumptions!$F$58*AS8</f>
        <v>1910.70208</v>
      </c>
      <c r="AT37" s="26" t="n">
        <f aca="false">AT15*Assumptions!$F$58*AT8</f>
        <v>1910.70208</v>
      </c>
      <c r="AU37" s="26" t="n">
        <f aca="false">AU15*Assumptions!$F$58*AU8</f>
        <v>1910.70208</v>
      </c>
      <c r="AV37" s="26" t="n">
        <f aca="false">AV15*Assumptions!$F$58*AV8</f>
        <v>1910.70208</v>
      </c>
      <c r="AW37" s="26" t="n">
        <f aca="false">AW15*Assumptions!$F$58*AW8</f>
        <v>1910.70208</v>
      </c>
      <c r="AX37" s="26" t="n">
        <f aca="false">AX15*Assumptions!$F$58*AX8</f>
        <v>1910.70208</v>
      </c>
      <c r="AY37" s="26" t="n">
        <f aca="false">AY15*Assumptions!$F$58*AY8</f>
        <v>2139.9863296</v>
      </c>
      <c r="AZ37" s="26" t="n">
        <f aca="false">AZ15*Assumptions!$F$58*AZ8</f>
        <v>2139.9863296</v>
      </c>
      <c r="BA37" s="26" t="n">
        <f aca="false">BA15*Assumptions!$F$58*BA8</f>
        <v>2139.9863296</v>
      </c>
      <c r="BB37" s="26" t="n">
        <f aca="false">BB15*Assumptions!$F$58*BB8</f>
        <v>2139.9863296</v>
      </c>
      <c r="BC37" s="26" t="n">
        <f aca="false">BC15*Assumptions!$F$58*BC8</f>
        <v>2139.9863296</v>
      </c>
      <c r="BD37" s="26" t="n">
        <f aca="false">BD15*Assumptions!$F$58*BD8</f>
        <v>2139.9863296</v>
      </c>
      <c r="BE37" s="26" t="n">
        <f aca="false">BE15*Assumptions!$F$58*BE8</f>
        <v>2139.9863296</v>
      </c>
      <c r="BF37" s="26" t="n">
        <f aca="false">BF15*Assumptions!$F$58*BF8</f>
        <v>2139.9863296</v>
      </c>
      <c r="BG37" s="26" t="n">
        <f aca="false">BG15*Assumptions!$F$58*BG8</f>
        <v>2139.9863296</v>
      </c>
      <c r="BH37" s="26" t="n">
        <f aca="false">BH15*Assumptions!$F$58*BH8</f>
        <v>2139.9863296</v>
      </c>
      <c r="BI37" s="26" t="n">
        <f aca="false">BI15*Assumptions!$F$58*BI8</f>
        <v>2139.9863296</v>
      </c>
      <c r="BJ37" s="26" t="n">
        <f aca="false">BJ15*Assumptions!$F$58*BJ8</f>
        <v>2139.9863296</v>
      </c>
    </row>
    <row r="38" customFormat="false" ht="15" hidden="false" customHeight="false" outlineLevel="0" collapsed="false">
      <c r="A38" s="9" t="s">
        <v>213</v>
      </c>
      <c r="B38" s="9"/>
      <c r="C38" s="26" t="n">
        <f aca="false">C18*Assumptions!$F$57*C8</f>
        <v>0</v>
      </c>
      <c r="D38" s="26" t="n">
        <f aca="false">D18*Assumptions!$F$57*D8</f>
        <v>0</v>
      </c>
      <c r="E38" s="26" t="n">
        <f aca="false">E18*Assumptions!$F$57*E8</f>
        <v>0</v>
      </c>
      <c r="F38" s="26" t="n">
        <f aca="false">F18*Assumptions!$F$57*F8</f>
        <v>0</v>
      </c>
      <c r="G38" s="26" t="n">
        <f aca="false">G18*Assumptions!$F$57*G8</f>
        <v>0</v>
      </c>
      <c r="H38" s="26" t="n">
        <f aca="false">H18*Assumptions!$F$57*H8</f>
        <v>0</v>
      </c>
      <c r="I38" s="26" t="n">
        <f aca="false">I18*Assumptions!$F$57*I8</f>
        <v>0</v>
      </c>
      <c r="J38" s="26" t="n">
        <f aca="false">J18*Assumptions!$F$57*J8</f>
        <v>390</v>
      </c>
      <c r="K38" s="26" t="n">
        <f aca="false">K18*Assumptions!$F$57*K8</f>
        <v>390</v>
      </c>
      <c r="L38" s="26" t="n">
        <f aca="false">L18*Assumptions!$F$57*L8</f>
        <v>390</v>
      </c>
      <c r="M38" s="26" t="n">
        <f aca="false">M18*Assumptions!$F$57*M8</f>
        <v>390</v>
      </c>
      <c r="N38" s="26" t="n">
        <f aca="false">N18*Assumptions!$F$57*N8</f>
        <v>390</v>
      </c>
      <c r="O38" s="26" t="n">
        <f aca="false">O18*Assumptions!$F$57*O8</f>
        <v>436.8</v>
      </c>
      <c r="P38" s="26" t="n">
        <f aca="false">P18*Assumptions!$F$57*P8</f>
        <v>742.56</v>
      </c>
      <c r="Q38" s="26" t="n">
        <f aca="false">Q18*Assumptions!$F$57*Q8</f>
        <v>742.56</v>
      </c>
      <c r="R38" s="26" t="n">
        <f aca="false">R18*Assumptions!$F$57*R8</f>
        <v>742.56</v>
      </c>
      <c r="S38" s="26" t="n">
        <f aca="false">S18*Assumptions!$F$57*S8</f>
        <v>742.56</v>
      </c>
      <c r="T38" s="26" t="n">
        <f aca="false">T18*Assumptions!$F$57*T8</f>
        <v>742.56</v>
      </c>
      <c r="U38" s="26" t="n">
        <f aca="false">U18*Assumptions!$F$57*U8</f>
        <v>742.56</v>
      </c>
      <c r="V38" s="26" t="n">
        <f aca="false">V18*Assumptions!$F$57*V8</f>
        <v>1179.36</v>
      </c>
      <c r="W38" s="26" t="n">
        <f aca="false">W18*Assumptions!$F$57*W8</f>
        <v>1179.36</v>
      </c>
      <c r="X38" s="26" t="n">
        <f aca="false">X18*Assumptions!$F$57*X8</f>
        <v>1179.36</v>
      </c>
      <c r="Y38" s="26" t="n">
        <f aca="false">Y18*Assumptions!$F$57*Y8</f>
        <v>1179.36</v>
      </c>
      <c r="Z38" s="26" t="n">
        <f aca="false">Z18*Assumptions!$F$57*Z8</f>
        <v>1179.36</v>
      </c>
      <c r="AA38" s="26" t="n">
        <f aca="false">AA18*Assumptions!$F$57*AA8</f>
        <v>1320.8832</v>
      </c>
      <c r="AB38" s="26" t="n">
        <f aca="false">AB18*Assumptions!$F$57*AB8</f>
        <v>1663.3344</v>
      </c>
      <c r="AC38" s="26" t="n">
        <f aca="false">AC18*Assumptions!$F$57*AC8</f>
        <v>1663.3344</v>
      </c>
      <c r="AD38" s="26" t="n">
        <f aca="false">AD18*Assumptions!$F$57*AD8</f>
        <v>1663.3344</v>
      </c>
      <c r="AE38" s="26" t="n">
        <f aca="false">AE18*Assumptions!$F$57*AE8</f>
        <v>1663.3344</v>
      </c>
      <c r="AF38" s="26" t="n">
        <f aca="false">AF18*Assumptions!$F$57*AF8</f>
        <v>1663.3344</v>
      </c>
      <c r="AG38" s="26" t="n">
        <f aca="false">AG18*Assumptions!$F$57*AG8</f>
        <v>1663.3344</v>
      </c>
      <c r="AH38" s="26" t="n">
        <f aca="false">AH18*Assumptions!$F$57*AH8</f>
        <v>1663.3344</v>
      </c>
      <c r="AI38" s="26" t="n">
        <f aca="false">AI18*Assumptions!$F$57*AI8</f>
        <v>1663.3344</v>
      </c>
      <c r="AJ38" s="26" t="n">
        <f aca="false">AJ18*Assumptions!$F$57*AJ8</f>
        <v>1663.3344</v>
      </c>
      <c r="AK38" s="26" t="n">
        <f aca="false">AK18*Assumptions!$F$57*AK8</f>
        <v>1663.3344</v>
      </c>
      <c r="AL38" s="26" t="n">
        <f aca="false">AL18*Assumptions!$F$57*AL8</f>
        <v>1663.3344</v>
      </c>
      <c r="AM38" s="26" t="n">
        <f aca="false">AM18*Assumptions!$F$57*AM8</f>
        <v>1862.934528</v>
      </c>
      <c r="AN38" s="26" t="n">
        <f aca="false">AN18*Assumptions!$F$57*AN8</f>
        <v>1862.934528</v>
      </c>
      <c r="AO38" s="26" t="n">
        <f aca="false">AO18*Assumptions!$F$57*AO8</f>
        <v>1862.934528</v>
      </c>
      <c r="AP38" s="26" t="n">
        <f aca="false">AP18*Assumptions!$F$57*AP8</f>
        <v>1862.934528</v>
      </c>
      <c r="AQ38" s="26" t="n">
        <f aca="false">AQ18*Assumptions!$F$57*AQ8</f>
        <v>1862.934528</v>
      </c>
      <c r="AR38" s="26" t="n">
        <f aca="false">AR18*Assumptions!$F$57*AR8</f>
        <v>1862.934528</v>
      </c>
      <c r="AS38" s="26" t="n">
        <f aca="false">AS18*Assumptions!$F$57*AS8</f>
        <v>1862.934528</v>
      </c>
      <c r="AT38" s="26" t="n">
        <f aca="false">AT18*Assumptions!$F$57*AT8</f>
        <v>1862.934528</v>
      </c>
      <c r="AU38" s="26" t="n">
        <f aca="false">AU18*Assumptions!$F$57*AU8</f>
        <v>1862.934528</v>
      </c>
      <c r="AV38" s="26" t="n">
        <f aca="false">AV18*Assumptions!$F$57*AV8</f>
        <v>1862.934528</v>
      </c>
      <c r="AW38" s="26" t="n">
        <f aca="false">AW18*Assumptions!$F$57*AW8</f>
        <v>1862.934528</v>
      </c>
      <c r="AX38" s="26" t="n">
        <f aca="false">AX18*Assumptions!$F$57*AX8</f>
        <v>1862.934528</v>
      </c>
      <c r="AY38" s="26" t="n">
        <f aca="false">AY18*Assumptions!$F$57*AY8</f>
        <v>2086.48667136</v>
      </c>
      <c r="AZ38" s="26" t="n">
        <f aca="false">AZ18*Assumptions!$F$57*AZ8</f>
        <v>2086.48667136</v>
      </c>
      <c r="BA38" s="26" t="n">
        <f aca="false">BA18*Assumptions!$F$57*BA8</f>
        <v>2086.48667136</v>
      </c>
      <c r="BB38" s="26" t="n">
        <f aca="false">BB18*Assumptions!$F$57*BB8</f>
        <v>2086.48667136</v>
      </c>
      <c r="BC38" s="26" t="n">
        <f aca="false">BC18*Assumptions!$F$57*BC8</f>
        <v>2086.48667136</v>
      </c>
      <c r="BD38" s="26" t="n">
        <f aca="false">BD18*Assumptions!$F$57*BD8</f>
        <v>2086.48667136</v>
      </c>
      <c r="BE38" s="26" t="n">
        <f aca="false">BE18*Assumptions!$F$57*BE8</f>
        <v>2086.48667136</v>
      </c>
      <c r="BF38" s="26" t="n">
        <f aca="false">BF18*Assumptions!$F$57*BF8</f>
        <v>2086.48667136</v>
      </c>
      <c r="BG38" s="26" t="n">
        <f aca="false">BG18*Assumptions!$F$57*BG8</f>
        <v>2086.48667136</v>
      </c>
      <c r="BH38" s="26" t="n">
        <f aca="false">BH18*Assumptions!$F$57*BH8</f>
        <v>2086.48667136</v>
      </c>
      <c r="BI38" s="26" t="n">
        <f aca="false">BI18*Assumptions!$F$57*BI8</f>
        <v>2086.48667136</v>
      </c>
      <c r="BJ38" s="26" t="n">
        <f aca="false">BJ18*Assumptions!$F$57*BJ8</f>
        <v>2086.48667136</v>
      </c>
    </row>
    <row r="39" customFormat="false" ht="15" hidden="false" customHeight="false" outlineLevel="0" collapsed="false">
      <c r="A39" s="9" t="s">
        <v>214</v>
      </c>
      <c r="B39" s="9"/>
      <c r="C39" s="26" t="n">
        <f aca="false">C25/Assumptions!$F$55*Assumptions!$F$56*C8</f>
        <v>0</v>
      </c>
      <c r="D39" s="26" t="n">
        <f aca="false">D25/Assumptions!$F$55*Assumptions!$F$56*D8</f>
        <v>0</v>
      </c>
      <c r="E39" s="26" t="n">
        <f aca="false">E25/Assumptions!$F$55*Assumptions!$F$56*E8</f>
        <v>0</v>
      </c>
      <c r="F39" s="26" t="n">
        <f aca="false">F25/Assumptions!$F$55*Assumptions!$F$56*F8</f>
        <v>0</v>
      </c>
      <c r="G39" s="26" t="n">
        <f aca="false">G25/Assumptions!$F$55*Assumptions!$F$56*G8</f>
        <v>0</v>
      </c>
      <c r="H39" s="26" t="n">
        <f aca="false">H25/Assumptions!$F$55*Assumptions!$F$56*H8</f>
        <v>0</v>
      </c>
      <c r="I39" s="26" t="n">
        <f aca="false">I25/Assumptions!$F$55*Assumptions!$F$56*I8</f>
        <v>0</v>
      </c>
      <c r="J39" s="26" t="n">
        <f aca="false">J25/Assumptions!$F$55*Assumptions!$F$56*J8</f>
        <v>624</v>
      </c>
      <c r="K39" s="26" t="n">
        <f aca="false">K25/Assumptions!$F$55*Assumptions!$F$56*K8</f>
        <v>624</v>
      </c>
      <c r="L39" s="26" t="n">
        <f aca="false">L25/Assumptions!$F$55*Assumptions!$F$56*L8</f>
        <v>624</v>
      </c>
      <c r="M39" s="26" t="n">
        <f aca="false">M25/Assumptions!$F$55*Assumptions!$F$56*M8</f>
        <v>616</v>
      </c>
      <c r="N39" s="26" t="n">
        <f aca="false">N25/Assumptions!$F$55*Assumptions!$F$56*N8</f>
        <v>528</v>
      </c>
      <c r="O39" s="26" t="n">
        <f aca="false">O25/Assumptions!$F$55*Assumptions!$F$56*O8</f>
        <v>815.36</v>
      </c>
      <c r="P39" s="26" t="n">
        <f aca="false">P25/Assumptions!$F$55*Assumptions!$F$56*P8</f>
        <v>1034.88</v>
      </c>
      <c r="Q39" s="26" t="n">
        <f aca="false">Q25/Assumptions!$F$55*Assumptions!$F$56*Q8</f>
        <v>1207.36</v>
      </c>
      <c r="R39" s="26" t="n">
        <f aca="false">R25/Assumptions!$F$55*Assumptions!$F$56*R8</f>
        <v>1322.048</v>
      </c>
      <c r="S39" s="26" t="n">
        <f aca="false">S25/Assumptions!$F$55*Assumptions!$F$56*S8</f>
        <v>1188.096</v>
      </c>
      <c r="T39" s="26" t="n">
        <f aca="false">T25/Assumptions!$F$55*Assumptions!$F$56*T8</f>
        <v>1188.096</v>
      </c>
      <c r="U39" s="26" t="n">
        <f aca="false">U25/Assumptions!$F$55*Assumptions!$F$56*U8</f>
        <v>1188.096</v>
      </c>
      <c r="V39" s="26" t="n">
        <f aca="false">V25/Assumptions!$F$55*Assumptions!$F$56*V8</f>
        <v>1886.976</v>
      </c>
      <c r="W39" s="26" t="n">
        <f aca="false">W25/Assumptions!$F$55*Assumptions!$F$56*W8</f>
        <v>1886.976</v>
      </c>
      <c r="X39" s="26" t="n">
        <f aca="false">X25/Assumptions!$F$55*Assumptions!$F$56*X8</f>
        <v>1724.8</v>
      </c>
      <c r="Y39" s="26" t="n">
        <f aca="false">Y25/Assumptions!$F$55*Assumptions!$F$56*Y8</f>
        <v>1207.36</v>
      </c>
      <c r="Z39" s="26" t="n">
        <f aca="false">Z25/Assumptions!$F$55*Assumptions!$F$56*Z8</f>
        <v>1034.88</v>
      </c>
      <c r="AA39" s="26" t="n">
        <f aca="false">AA25/Assumptions!$F$55*Assumptions!$F$56*AA8</f>
        <v>1655.808</v>
      </c>
      <c r="AB39" s="26" t="n">
        <f aca="false">AB25/Assumptions!$F$55*Assumptions!$F$56*AB8</f>
        <v>1655.808</v>
      </c>
      <c r="AC39" s="26" t="n">
        <f aca="false">AC25/Assumptions!$F$55*Assumptions!$F$56*AC8</f>
        <v>1931.776</v>
      </c>
      <c r="AD39" s="26" t="n">
        <f aca="false">AD25/Assumptions!$F$55*Assumptions!$F$56*AD8</f>
        <v>2207.744</v>
      </c>
      <c r="AE39" s="26" t="n">
        <f aca="false">AE25/Assumptions!$F$55*Assumptions!$F$56*AE8</f>
        <v>3311.616</v>
      </c>
      <c r="AF39" s="26" t="n">
        <f aca="false">AF25/Assumptions!$F$55*Assumptions!$F$56*AF8</f>
        <v>4139.52</v>
      </c>
      <c r="AG39" s="26" t="n">
        <f aca="false">AG25/Assumptions!$F$55*Assumptions!$F$56*AG8</f>
        <v>4415.488</v>
      </c>
      <c r="AH39" s="26" t="n">
        <f aca="false">AH25/Assumptions!$F$55*Assumptions!$F$56*AH8</f>
        <v>3322.15296</v>
      </c>
      <c r="AI39" s="26" t="n">
        <f aca="false">AI25/Assumptions!$F$55*Assumptions!$F$56*AI8</f>
        <v>2661.33504</v>
      </c>
      <c r="AJ39" s="26" t="n">
        <f aca="false">AJ25/Assumptions!$F$55*Assumptions!$F$56*AJ8</f>
        <v>2661.33504</v>
      </c>
      <c r="AK39" s="26" t="n">
        <f aca="false">AK25/Assumptions!$F$55*Assumptions!$F$56*AK8</f>
        <v>1931.776</v>
      </c>
      <c r="AL39" s="26" t="n">
        <f aca="false">AL25/Assumptions!$F$55*Assumptions!$F$56*AL8</f>
        <v>1655.808</v>
      </c>
      <c r="AM39" s="26" t="n">
        <f aca="false">AM25/Assumptions!$F$55*Assumptions!$F$56*AM8</f>
        <v>1854.50496</v>
      </c>
      <c r="AN39" s="26" t="n">
        <f aca="false">AN25/Assumptions!$F$55*Assumptions!$F$56*AN8</f>
        <v>1854.50496</v>
      </c>
      <c r="AO39" s="26" t="n">
        <f aca="false">AO25/Assumptions!$F$55*Assumptions!$F$56*AO8</f>
        <v>2163.58912</v>
      </c>
      <c r="AP39" s="26" t="n">
        <f aca="false">AP25/Assumptions!$F$55*Assumptions!$F$56*AP8</f>
        <v>2472.67328</v>
      </c>
      <c r="AQ39" s="26" t="n">
        <f aca="false">AQ25/Assumptions!$F$55*Assumptions!$F$56*AQ8</f>
        <v>3709.00992</v>
      </c>
      <c r="AR39" s="26" t="n">
        <f aca="false">AR25/Assumptions!$F$55*Assumptions!$F$56*AR8</f>
        <v>4636.2624</v>
      </c>
      <c r="AS39" s="26" t="n">
        <f aca="false">AS25/Assumptions!$F$55*Assumptions!$F$56*AS8</f>
        <v>4945.34656</v>
      </c>
      <c r="AT39" s="26" t="n">
        <f aca="false">AT25/Assumptions!$F$55*Assumptions!$F$56*AT8</f>
        <v>4152.967168</v>
      </c>
      <c r="AU39" s="26" t="n">
        <f aca="false">AU25/Assumptions!$F$55*Assumptions!$F$56*AU8</f>
        <v>2980.6952448</v>
      </c>
      <c r="AV39" s="26" t="n">
        <f aca="false">AV25/Assumptions!$F$55*Assumptions!$F$56*AV8</f>
        <v>2980.6952448</v>
      </c>
      <c r="AW39" s="26" t="n">
        <f aca="false">AW25/Assumptions!$F$55*Assumptions!$F$56*AW8</f>
        <v>2163.58912</v>
      </c>
      <c r="AX39" s="26" t="n">
        <f aca="false">AX25/Assumptions!$F$55*Assumptions!$F$56*AX8</f>
        <v>1854.50496</v>
      </c>
      <c r="AY39" s="26" t="n">
        <f aca="false">AY25/Assumptions!$F$55*Assumptions!$F$56*AY8</f>
        <v>2077.0455552</v>
      </c>
      <c r="AZ39" s="26" t="n">
        <f aca="false">AZ25/Assumptions!$F$55*Assumptions!$F$56*AZ8</f>
        <v>2077.0455552</v>
      </c>
      <c r="BA39" s="26" t="n">
        <f aca="false">BA25/Assumptions!$F$55*Assumptions!$F$56*BA8</f>
        <v>2423.2198144</v>
      </c>
      <c r="BB39" s="26" t="n">
        <f aca="false">BB25/Assumptions!$F$55*Assumptions!$F$56*BB8</f>
        <v>2769.3940736</v>
      </c>
      <c r="BC39" s="26" t="n">
        <f aca="false">BC25/Assumptions!$F$55*Assumptions!$F$56*BC8</f>
        <v>4154.0911104</v>
      </c>
      <c r="BD39" s="26" t="n">
        <f aca="false">BD25/Assumptions!$F$55*Assumptions!$F$56*BD8</f>
        <v>5192.613888</v>
      </c>
      <c r="BE39" s="26" t="n">
        <f aca="false">BE25/Assumptions!$F$55*Assumptions!$F$56*BE8</f>
        <v>5538.7881472</v>
      </c>
      <c r="BF39" s="26" t="n">
        <f aca="false">BF25/Assumptions!$F$55*Assumptions!$F$56*BF8</f>
        <v>4651.32322816</v>
      </c>
      <c r="BG39" s="26" t="n">
        <f aca="false">BG25/Assumptions!$F$55*Assumptions!$F$56*BG8</f>
        <v>3338.378674176</v>
      </c>
      <c r="BH39" s="26" t="n">
        <f aca="false">BH25/Assumptions!$F$55*Assumptions!$F$56*BH8</f>
        <v>3338.378674176</v>
      </c>
      <c r="BI39" s="26" t="n">
        <f aca="false">BI25/Assumptions!$F$55*Assumptions!$F$56*BI8</f>
        <v>2423.2198144</v>
      </c>
      <c r="BJ39" s="26" t="n">
        <f aca="false">BJ25/Assumptions!$F$55*Assumptions!$F$56*BJ8</f>
        <v>2077.0455552</v>
      </c>
    </row>
    <row r="40" customFormat="false" ht="15" hidden="false" customHeight="false" outlineLevel="0" collapsed="false">
      <c r="A40" s="9" t="s">
        <v>215</v>
      </c>
      <c r="B40" s="9"/>
      <c r="C40" s="26" t="n">
        <f aca="false">C25*Assumptions!$F$59*C8</f>
        <v>0</v>
      </c>
      <c r="D40" s="26" t="n">
        <f aca="false">D25*Assumptions!$F$59*D8</f>
        <v>0</v>
      </c>
      <c r="E40" s="26" t="n">
        <f aca="false">E25*Assumptions!$F$59*E8</f>
        <v>0</v>
      </c>
      <c r="F40" s="26" t="n">
        <f aca="false">F25*Assumptions!$F$59*F8</f>
        <v>0</v>
      </c>
      <c r="G40" s="26" t="n">
        <f aca="false">G25*Assumptions!$F$59*G8</f>
        <v>0</v>
      </c>
      <c r="H40" s="26" t="n">
        <f aca="false">H25*Assumptions!$F$59*H8</f>
        <v>0</v>
      </c>
      <c r="I40" s="26" t="n">
        <f aca="false">I25*Assumptions!$F$59*I8</f>
        <v>0</v>
      </c>
      <c r="J40" s="26" t="n">
        <f aca="false">J25*Assumptions!$F$59*J8</f>
        <v>416</v>
      </c>
      <c r="K40" s="26" t="n">
        <f aca="false">K25*Assumptions!$F$59*K8</f>
        <v>416</v>
      </c>
      <c r="L40" s="26" t="n">
        <f aca="false">L25*Assumptions!$F$59*L8</f>
        <v>416</v>
      </c>
      <c r="M40" s="26" t="n">
        <f aca="false">M25*Assumptions!$F$59*M8</f>
        <v>410.666666666667</v>
      </c>
      <c r="N40" s="26" t="n">
        <f aca="false">N25*Assumptions!$F$59*N8</f>
        <v>352</v>
      </c>
      <c r="O40" s="26" t="n">
        <f aca="false">O25*Assumptions!$F$59*O8</f>
        <v>543.573333333333</v>
      </c>
      <c r="P40" s="26" t="n">
        <f aca="false">P25*Assumptions!$F$59*P8</f>
        <v>689.92</v>
      </c>
      <c r="Q40" s="26" t="n">
        <f aca="false">Q25*Assumptions!$F$59*Q8</f>
        <v>804.906666666667</v>
      </c>
      <c r="R40" s="26" t="n">
        <f aca="false">R25*Assumptions!$F$59*R8</f>
        <v>881.365333333334</v>
      </c>
      <c r="S40" s="26" t="n">
        <f aca="false">S25*Assumptions!$F$59*S8</f>
        <v>792.064</v>
      </c>
      <c r="T40" s="26" t="n">
        <f aca="false">T25*Assumptions!$F$59*T8</f>
        <v>792.064</v>
      </c>
      <c r="U40" s="26" t="n">
        <f aca="false">U25*Assumptions!$F$59*U8</f>
        <v>792.064</v>
      </c>
      <c r="V40" s="26" t="n">
        <f aca="false">V25*Assumptions!$F$59*V8</f>
        <v>1257.984</v>
      </c>
      <c r="W40" s="26" t="n">
        <f aca="false">W25*Assumptions!$F$59*W8</f>
        <v>1257.984</v>
      </c>
      <c r="X40" s="26" t="n">
        <f aca="false">X25*Assumptions!$F$59*X8</f>
        <v>1149.86666666667</v>
      </c>
      <c r="Y40" s="26" t="n">
        <f aca="false">Y25*Assumptions!$F$59*Y8</f>
        <v>804.906666666667</v>
      </c>
      <c r="Z40" s="26" t="n">
        <f aca="false">Z25*Assumptions!$F$59*Z8</f>
        <v>689.92</v>
      </c>
      <c r="AA40" s="26" t="n">
        <f aca="false">AA25*Assumptions!$F$59*AA8</f>
        <v>1103.872</v>
      </c>
      <c r="AB40" s="26" t="n">
        <f aca="false">AB25*Assumptions!$F$59*AB8</f>
        <v>1103.872</v>
      </c>
      <c r="AC40" s="26" t="n">
        <f aca="false">AC25*Assumptions!$F$59*AC8</f>
        <v>1287.85066666667</v>
      </c>
      <c r="AD40" s="26" t="n">
        <f aca="false">AD25*Assumptions!$F$59*AD8</f>
        <v>1471.82933333333</v>
      </c>
      <c r="AE40" s="26" t="n">
        <f aca="false">AE25*Assumptions!$F$59*AE8</f>
        <v>2207.744</v>
      </c>
      <c r="AF40" s="26" t="n">
        <f aca="false">AF25*Assumptions!$F$59*AF8</f>
        <v>2759.68</v>
      </c>
      <c r="AG40" s="26" t="n">
        <f aca="false">AG25*Assumptions!$F$59*AG8</f>
        <v>2943.65866666667</v>
      </c>
      <c r="AH40" s="26" t="n">
        <f aca="false">AH25*Assumptions!$F$59*AH8</f>
        <v>2214.76864</v>
      </c>
      <c r="AI40" s="26" t="n">
        <f aca="false">AI25*Assumptions!$F$59*AI8</f>
        <v>1774.22336</v>
      </c>
      <c r="AJ40" s="26" t="n">
        <f aca="false">AJ25*Assumptions!$F$59*AJ8</f>
        <v>1774.22336</v>
      </c>
      <c r="AK40" s="26" t="n">
        <f aca="false">AK25*Assumptions!$F$59*AK8</f>
        <v>1287.85066666667</v>
      </c>
      <c r="AL40" s="26" t="n">
        <f aca="false">AL25*Assumptions!$F$59*AL8</f>
        <v>1103.872</v>
      </c>
      <c r="AM40" s="26" t="n">
        <f aca="false">AM25*Assumptions!$F$59*AM8</f>
        <v>1236.33664</v>
      </c>
      <c r="AN40" s="26" t="n">
        <f aca="false">AN25*Assumptions!$F$59*AN8</f>
        <v>1236.33664</v>
      </c>
      <c r="AO40" s="26" t="n">
        <f aca="false">AO25*Assumptions!$F$59*AO8</f>
        <v>1442.39274666667</v>
      </c>
      <c r="AP40" s="26" t="n">
        <f aca="false">AP25*Assumptions!$F$59*AP8</f>
        <v>1648.44885333333</v>
      </c>
      <c r="AQ40" s="26" t="n">
        <f aca="false">AQ25*Assumptions!$F$59*AQ8</f>
        <v>2472.67328</v>
      </c>
      <c r="AR40" s="26" t="n">
        <f aca="false">AR25*Assumptions!$F$59*AR8</f>
        <v>3090.8416</v>
      </c>
      <c r="AS40" s="26" t="n">
        <f aca="false">AS25*Assumptions!$F$59*AS8</f>
        <v>3296.89770666667</v>
      </c>
      <c r="AT40" s="26" t="n">
        <f aca="false">AT25*Assumptions!$F$59*AT8</f>
        <v>2768.64477866667</v>
      </c>
      <c r="AU40" s="26" t="n">
        <f aca="false">AU25*Assumptions!$F$59*AU8</f>
        <v>1987.1301632</v>
      </c>
      <c r="AV40" s="26" t="n">
        <f aca="false">AV25*Assumptions!$F$59*AV8</f>
        <v>1987.1301632</v>
      </c>
      <c r="AW40" s="26" t="n">
        <f aca="false">AW25*Assumptions!$F$59*AW8</f>
        <v>1442.39274666667</v>
      </c>
      <c r="AX40" s="26" t="n">
        <f aca="false">AX25*Assumptions!$F$59*AX8</f>
        <v>1236.33664</v>
      </c>
      <c r="AY40" s="26" t="n">
        <f aca="false">AY25*Assumptions!$F$59*AY8</f>
        <v>1384.6970368</v>
      </c>
      <c r="AZ40" s="26" t="n">
        <f aca="false">AZ25*Assumptions!$F$59*AZ8</f>
        <v>1384.6970368</v>
      </c>
      <c r="BA40" s="26" t="n">
        <f aca="false">BA25*Assumptions!$F$59*BA8</f>
        <v>1615.47987626667</v>
      </c>
      <c r="BB40" s="26" t="n">
        <f aca="false">BB25*Assumptions!$F$59*BB8</f>
        <v>1846.26271573333</v>
      </c>
      <c r="BC40" s="26" t="n">
        <f aca="false">BC25*Assumptions!$F$59*BC8</f>
        <v>2769.3940736</v>
      </c>
      <c r="BD40" s="26" t="n">
        <f aca="false">BD25*Assumptions!$F$59*BD8</f>
        <v>3461.742592</v>
      </c>
      <c r="BE40" s="26" t="n">
        <f aca="false">BE25*Assumptions!$F$59*BE8</f>
        <v>3692.52543146667</v>
      </c>
      <c r="BF40" s="26" t="n">
        <f aca="false">BF25*Assumptions!$F$59*BF8</f>
        <v>3100.88215210667</v>
      </c>
      <c r="BG40" s="26" t="n">
        <f aca="false">BG25*Assumptions!$F$59*BG8</f>
        <v>2225.585782784</v>
      </c>
      <c r="BH40" s="26" t="n">
        <f aca="false">BH25*Assumptions!$F$59*BH8</f>
        <v>2225.585782784</v>
      </c>
      <c r="BI40" s="26" t="n">
        <f aca="false">BI25*Assumptions!$F$59*BI8</f>
        <v>1615.47987626667</v>
      </c>
      <c r="BJ40" s="26" t="n">
        <f aca="false">BJ25*Assumptions!$F$59*BJ8</f>
        <v>1384.6970368</v>
      </c>
    </row>
    <row r="41" customFormat="false" ht="15" hidden="false" customHeight="false" outlineLevel="0" collapsed="false">
      <c r="A41" s="3" t="s">
        <v>216</v>
      </c>
      <c r="B41" s="9"/>
      <c r="C41" s="14" t="n">
        <f aca="false">C35+C36+C37+C38+C39+C40</f>
        <v>0</v>
      </c>
      <c r="D41" s="14" t="n">
        <f aca="false">D35+D36+D37+D38+D39+D40</f>
        <v>0</v>
      </c>
      <c r="E41" s="14" t="n">
        <f aca="false">E35+E36+E37+E38+E39+E40</f>
        <v>0</v>
      </c>
      <c r="F41" s="14" t="n">
        <f aca="false">F35+F36+F37+F38+F39+F40</f>
        <v>0</v>
      </c>
      <c r="G41" s="14" t="n">
        <f aca="false">G35+G36+G37+G38+G39+G40</f>
        <v>1733.33333333333</v>
      </c>
      <c r="H41" s="14" t="n">
        <f aca="false">H35+H36+H37+H38+H39+H40</f>
        <v>1733.33333333333</v>
      </c>
      <c r="I41" s="14" t="n">
        <f aca="false">I35+I36+I37+I38+I39+I40</f>
        <v>1466.66666666667</v>
      </c>
      <c r="J41" s="14" t="n">
        <f aca="false">J35+J36+J37+J38+J39+J40</f>
        <v>2896.66666666667</v>
      </c>
      <c r="K41" s="14" t="n">
        <f aca="false">K35+K36+K37+K38+K39+K40</f>
        <v>2896.66666666667</v>
      </c>
      <c r="L41" s="14" t="n">
        <f aca="false">L35+L36+L37+L38+L39+L40</f>
        <v>2896.66666666667</v>
      </c>
      <c r="M41" s="14" t="n">
        <f aca="false">M35+M36+M37+M38+M39+M40</f>
        <v>4096.66666666667</v>
      </c>
      <c r="N41" s="14" t="n">
        <f aca="false">N35+N36+N37+N38+N39+N40</f>
        <v>3950</v>
      </c>
      <c r="O41" s="14" t="n">
        <f aca="false">O35+O36+O37+O38+O39+O40</f>
        <v>4797.33333333333</v>
      </c>
      <c r="P41" s="14" t="n">
        <f aca="false">P35+P36+P37+P38+P39+P40</f>
        <v>5468.96</v>
      </c>
      <c r="Q41" s="14" t="n">
        <f aca="false">Q35+Q36+Q37+Q38+Q39+Q40</f>
        <v>5756.42666666667</v>
      </c>
      <c r="R41" s="14" t="n">
        <f aca="false">R35+R36+R37+R38+R39+R40</f>
        <v>5947.57333333333</v>
      </c>
      <c r="S41" s="14" t="n">
        <f aca="false">S35+S36+S37+S38+S39+S40</f>
        <v>7665.65333333334</v>
      </c>
      <c r="T41" s="14" t="n">
        <f aca="false">T35+T36+T37+T38+T39+T40</f>
        <v>7665.65333333334</v>
      </c>
      <c r="U41" s="14" t="n">
        <f aca="false">U35+U36+U37+U38+U39+U40</f>
        <v>7665.65333333334</v>
      </c>
      <c r="V41" s="14" t="n">
        <f aca="false">V35+V36+V37+V38+V39+V40</f>
        <v>9267.25333333334</v>
      </c>
      <c r="W41" s="14" t="n">
        <f aca="false">W35+W36+W37+W38+W39+W40</f>
        <v>9267.25333333334</v>
      </c>
      <c r="X41" s="14" t="n">
        <f aca="false">X35+X36+X37+X38+X39+X40</f>
        <v>8996.96</v>
      </c>
      <c r="Y41" s="14" t="n">
        <f aca="false">Y35+Y36+Y37+Y38+Y39+Y40</f>
        <v>9493.49333333334</v>
      </c>
      <c r="Z41" s="14" t="n">
        <f aca="false">Z35+Z36+Z37+Z38+Z39+Z40</f>
        <v>9206.02666666667</v>
      </c>
      <c r="AA41" s="14" t="n">
        <f aca="false">AA35+AA36+AA37+AA38+AA39+AA40</f>
        <v>11138.6538666667</v>
      </c>
      <c r="AB41" s="14" t="n">
        <f aca="false">AB35+AB36+AB37+AB38+AB39+AB40</f>
        <v>11481.1050666667</v>
      </c>
      <c r="AC41" s="14" t="n">
        <f aca="false">AC35+AC36+AC37+AC38+AC39+AC40</f>
        <v>11941.0517333333</v>
      </c>
      <c r="AD41" s="14" t="n">
        <f aca="false">AD35+AD36+AD37+AD38+AD39+AD40</f>
        <v>12400.9984</v>
      </c>
      <c r="AE41" s="14" t="n">
        <f aca="false">AE35+AE36+AE37+AE38+AE39+AE40</f>
        <v>14240.7850666667</v>
      </c>
      <c r="AF41" s="14" t="n">
        <f aca="false">AF35+AF36+AF37+AF38+AF39+AF40</f>
        <v>15620.6250666667</v>
      </c>
      <c r="AG41" s="14" t="n">
        <f aca="false">AG35+AG36+AG37+AG38+AG39+AG40</f>
        <v>16080.5717333333</v>
      </c>
      <c r="AH41" s="14" t="n">
        <f aca="false">AH35+AH36+AH37+AH38+AH39+AH40</f>
        <v>14258.3466666667</v>
      </c>
      <c r="AI41" s="14" t="n">
        <f aca="false">AI35+AI36+AI37+AI38+AI39+AI40</f>
        <v>13156.9834666667</v>
      </c>
      <c r="AJ41" s="14" t="n">
        <f aca="false">AJ35+AJ36+AJ37+AJ38+AJ39+AJ40</f>
        <v>13156.9834666667</v>
      </c>
      <c r="AK41" s="14" t="n">
        <f aca="false">AK35+AK36+AK37+AK38+AK39+AK40</f>
        <v>11941.0517333333</v>
      </c>
      <c r="AL41" s="14" t="n">
        <f aca="false">AL35+AL36+AL37+AL38+AL39+AL40</f>
        <v>11481.1050666667</v>
      </c>
      <c r="AM41" s="14" t="n">
        <f aca="false">AM35+AM36+AM37+AM38+AM39+AM40</f>
        <v>12858.8376746667</v>
      </c>
      <c r="AN41" s="14" t="n">
        <f aca="false">AN35+AN36+AN37+AN38+AN39+AN40</f>
        <v>12858.8376746667</v>
      </c>
      <c r="AO41" s="14" t="n">
        <f aca="false">AO35+AO36+AO37+AO38+AO39+AO40</f>
        <v>13373.9779413333</v>
      </c>
      <c r="AP41" s="14" t="n">
        <f aca="false">AP35+AP36+AP37+AP38+AP39+AP40</f>
        <v>13889.118208</v>
      </c>
      <c r="AQ41" s="14" t="n">
        <f aca="false">AQ35+AQ36+AQ37+AQ38+AQ39+AQ40</f>
        <v>15949.6792746667</v>
      </c>
      <c r="AR41" s="14" t="n">
        <f aca="false">AR35+AR36+AR37+AR38+AR39+AR40</f>
        <v>17495.1000746667</v>
      </c>
      <c r="AS41" s="14" t="n">
        <f aca="false">AS35+AS36+AS37+AS38+AS39+AS40</f>
        <v>18010.2403413333</v>
      </c>
      <c r="AT41" s="14" t="n">
        <f aca="false">AT35+AT36+AT37+AT38+AT39+AT40</f>
        <v>16689.6080213333</v>
      </c>
      <c r="AU41" s="14" t="n">
        <f aca="false">AU35+AU36+AU37+AU38+AU39+AU40</f>
        <v>14735.8214826667</v>
      </c>
      <c r="AV41" s="14" t="n">
        <f aca="false">AV35+AV36+AV37+AV38+AV39+AV40</f>
        <v>14735.8214826667</v>
      </c>
      <c r="AW41" s="14" t="n">
        <f aca="false">AW35+AW36+AW37+AW38+AW39+AW40</f>
        <v>13373.9779413333</v>
      </c>
      <c r="AX41" s="14" t="n">
        <f aca="false">AX35+AX36+AX37+AX38+AX39+AX40</f>
        <v>12858.8376746667</v>
      </c>
      <c r="AY41" s="14" t="n">
        <f aca="false">AY35+AY36+AY37+AY38+AY39+AY40</f>
        <v>14401.8981956267</v>
      </c>
      <c r="AZ41" s="14" t="n">
        <f aca="false">AZ35+AZ36+AZ37+AZ38+AZ39+AZ40</f>
        <v>14401.8981956267</v>
      </c>
      <c r="BA41" s="14" t="n">
        <f aca="false">BA35+BA36+BA37+BA38+BA39+BA40</f>
        <v>14978.8552942933</v>
      </c>
      <c r="BB41" s="14" t="n">
        <f aca="false">BB35+BB36+BB37+BB38+BB39+BB40</f>
        <v>15555.81239296</v>
      </c>
      <c r="BC41" s="14" t="n">
        <f aca="false">BC35+BC36+BC37+BC38+BC39+BC40</f>
        <v>17863.6407876267</v>
      </c>
      <c r="BD41" s="14" t="n">
        <f aca="false">BD35+BD36+BD37+BD38+BD39+BD40</f>
        <v>19594.5120836267</v>
      </c>
      <c r="BE41" s="14" t="n">
        <f aca="false">BE35+BE36+BE37+BE38+BE39+BE40</f>
        <v>20171.4691822933</v>
      </c>
      <c r="BF41" s="14" t="n">
        <f aca="false">BF35+BF36+BF37+BF38+BF39+BF40</f>
        <v>18692.3609838933</v>
      </c>
      <c r="BG41" s="14" t="n">
        <f aca="false">BG35+BG36+BG37+BG38+BG39+BG40</f>
        <v>16504.1200605867</v>
      </c>
      <c r="BH41" s="14" t="n">
        <f aca="false">BH35+BH36+BH37+BH38+BH39+BH40</f>
        <v>16504.1200605867</v>
      </c>
      <c r="BI41" s="14" t="n">
        <f aca="false">BI35+BI36+BI37+BI38+BI39+BI40</f>
        <v>14978.8552942933</v>
      </c>
      <c r="BJ41" s="14" t="n">
        <f aca="false">BJ35+BJ36+BJ37+BJ38+BJ39+BJ40</f>
        <v>14401.8981956267</v>
      </c>
    </row>
    <row r="42" customFormat="false" ht="15" hidden="false" customHeight="false" outlineLevel="0" collapsed="false">
      <c r="A42" s="9" t="s">
        <v>217</v>
      </c>
      <c r="B42" s="9"/>
      <c r="C42" s="26" t="n">
        <f aca="false">0</f>
        <v>0</v>
      </c>
      <c r="D42" s="26" t="n">
        <f aca="false">0</f>
        <v>0</v>
      </c>
      <c r="E42" s="26" t="n">
        <f aca="false">0</f>
        <v>0</v>
      </c>
      <c r="F42" s="26" t="n">
        <f aca="false">0</f>
        <v>0</v>
      </c>
      <c r="G42" s="26" t="n">
        <f aca="false">0</f>
        <v>0</v>
      </c>
      <c r="H42" s="26" t="n">
        <f aca="false">0</f>
        <v>0</v>
      </c>
      <c r="I42" s="26" t="n">
        <f aca="false">0</f>
        <v>0</v>
      </c>
      <c r="J42" s="26" t="n">
        <f aca="false">0</f>
        <v>0</v>
      </c>
      <c r="K42" s="26" t="n">
        <f aca="false">0</f>
        <v>0</v>
      </c>
      <c r="L42" s="26" t="n">
        <f aca="false">0</f>
        <v>0</v>
      </c>
      <c r="M42" s="26" t="n">
        <f aca="false">0</f>
        <v>0</v>
      </c>
      <c r="N42" s="26" t="n">
        <f aca="false">0</f>
        <v>0</v>
      </c>
      <c r="O42" s="26" t="n">
        <f aca="false">0</f>
        <v>0</v>
      </c>
      <c r="P42" s="26" t="n">
        <f aca="false">0</f>
        <v>0</v>
      </c>
      <c r="Q42" s="26" t="n">
        <f aca="false">0</f>
        <v>0</v>
      </c>
      <c r="R42" s="26" t="n">
        <f aca="false">0</f>
        <v>0</v>
      </c>
      <c r="S42" s="26" t="n">
        <f aca="false">0</f>
        <v>0</v>
      </c>
      <c r="T42" s="26" t="n">
        <f aca="false">0</f>
        <v>0</v>
      </c>
      <c r="U42" s="26" t="n">
        <f aca="false">0</f>
        <v>0</v>
      </c>
      <c r="V42" s="26" t="n">
        <f aca="false">0</f>
        <v>0</v>
      </c>
      <c r="W42" s="26" t="n">
        <f aca="false">0</f>
        <v>0</v>
      </c>
      <c r="X42" s="26" t="n">
        <f aca="false">0</f>
        <v>0</v>
      </c>
      <c r="Y42" s="26" t="n">
        <f aca="false">0</f>
        <v>0</v>
      </c>
      <c r="Z42" s="26" t="n">
        <f aca="false">0</f>
        <v>0</v>
      </c>
      <c r="AA42" s="26" t="n">
        <f aca="false">0</f>
        <v>0</v>
      </c>
      <c r="AB42" s="26" t="n">
        <f aca="false">0</f>
        <v>0</v>
      </c>
      <c r="AC42" s="26" t="n">
        <f aca="false">0</f>
        <v>0</v>
      </c>
      <c r="AD42" s="26" t="n">
        <f aca="false">0</f>
        <v>0</v>
      </c>
      <c r="AE42" s="26" t="n">
        <f aca="false">0</f>
        <v>0</v>
      </c>
      <c r="AF42" s="26" t="n">
        <f aca="false">0</f>
        <v>0</v>
      </c>
      <c r="AG42" s="26" t="n">
        <f aca="false">0</f>
        <v>0</v>
      </c>
      <c r="AH42" s="26" t="n">
        <f aca="false">0</f>
        <v>0</v>
      </c>
      <c r="AI42" s="26" t="n">
        <f aca="false">0</f>
        <v>0</v>
      </c>
      <c r="AJ42" s="26" t="n">
        <f aca="false">0</f>
        <v>0</v>
      </c>
      <c r="AK42" s="26" t="n">
        <f aca="false">0</f>
        <v>0</v>
      </c>
      <c r="AL42" s="26" t="n">
        <f aca="false">0</f>
        <v>0</v>
      </c>
      <c r="AM42" s="26" t="n">
        <f aca="false">0</f>
        <v>0</v>
      </c>
      <c r="AN42" s="26" t="n">
        <f aca="false">0</f>
        <v>0</v>
      </c>
      <c r="AO42" s="26" t="n">
        <f aca="false">0</f>
        <v>0</v>
      </c>
      <c r="AP42" s="26" t="n">
        <f aca="false">0</f>
        <v>0</v>
      </c>
      <c r="AQ42" s="26" t="n">
        <f aca="false">0</f>
        <v>0</v>
      </c>
      <c r="AR42" s="26" t="n">
        <f aca="false">0</f>
        <v>0</v>
      </c>
      <c r="AS42" s="26" t="n">
        <f aca="false">0</f>
        <v>0</v>
      </c>
      <c r="AT42" s="26" t="n">
        <f aca="false">0</f>
        <v>0</v>
      </c>
      <c r="AU42" s="26" t="n">
        <f aca="false">0</f>
        <v>0</v>
      </c>
      <c r="AV42" s="26" t="n">
        <f aca="false">0</f>
        <v>0</v>
      </c>
      <c r="AW42" s="26" t="n">
        <f aca="false">0</f>
        <v>0</v>
      </c>
      <c r="AX42" s="26" t="n">
        <f aca="false">0</f>
        <v>0</v>
      </c>
      <c r="AY42" s="26" t="n">
        <f aca="false">0</f>
        <v>0</v>
      </c>
      <c r="AZ42" s="26" t="n">
        <f aca="false">0</f>
        <v>0</v>
      </c>
      <c r="BA42" s="26" t="n">
        <f aca="false">0</f>
        <v>0</v>
      </c>
      <c r="BB42" s="26" t="n">
        <f aca="false">0</f>
        <v>0</v>
      </c>
      <c r="BC42" s="26" t="n">
        <f aca="false">0</f>
        <v>0</v>
      </c>
      <c r="BD42" s="26" t="n">
        <f aca="false">0</f>
        <v>0</v>
      </c>
      <c r="BE42" s="26" t="n">
        <f aca="false">0</f>
        <v>0</v>
      </c>
      <c r="BF42" s="26" t="n">
        <f aca="false">0</f>
        <v>0</v>
      </c>
      <c r="BG42" s="26" t="n">
        <f aca="false">0</f>
        <v>0</v>
      </c>
      <c r="BH42" s="26" t="n">
        <f aca="false">0</f>
        <v>0</v>
      </c>
      <c r="BI42" s="26" t="n">
        <f aca="false">0</f>
        <v>0</v>
      </c>
      <c r="BJ42" s="26" t="n">
        <f aca="false">0</f>
        <v>0</v>
      </c>
    </row>
    <row r="43" customFormat="false" ht="15" hidden="false" customHeight="false" outlineLevel="0" collapsed="false">
      <c r="A43" s="9" t="s">
        <v>218</v>
      </c>
      <c r="B43" s="9"/>
      <c r="C43" s="26" t="n">
        <f aca="false">C41-C42</f>
        <v>0</v>
      </c>
      <c r="D43" s="26" t="n">
        <f aca="false">D41-D42</f>
        <v>0</v>
      </c>
      <c r="E43" s="26" t="n">
        <f aca="false">E41-E42</f>
        <v>0</v>
      </c>
      <c r="F43" s="26" t="n">
        <f aca="false">F41-F42</f>
        <v>0</v>
      </c>
      <c r="G43" s="26" t="n">
        <f aca="false">G41-G42</f>
        <v>1733.33333333333</v>
      </c>
      <c r="H43" s="26" t="n">
        <f aca="false">H41-H42</f>
        <v>1733.33333333333</v>
      </c>
      <c r="I43" s="26" t="n">
        <f aca="false">I41-I42</f>
        <v>1466.66666666667</v>
      </c>
      <c r="J43" s="26" t="n">
        <f aca="false">J41-J42</f>
        <v>2896.66666666667</v>
      </c>
      <c r="K43" s="26" t="n">
        <f aca="false">K41-K42</f>
        <v>2896.66666666667</v>
      </c>
      <c r="L43" s="26" t="n">
        <f aca="false">L41-L42</f>
        <v>2896.66666666667</v>
      </c>
      <c r="M43" s="26" t="n">
        <f aca="false">M41-M42</f>
        <v>4096.66666666667</v>
      </c>
      <c r="N43" s="26" t="n">
        <f aca="false">N41-N42</f>
        <v>3950</v>
      </c>
      <c r="O43" s="26" t="n">
        <f aca="false">O41-O42</f>
        <v>4797.33333333333</v>
      </c>
      <c r="P43" s="26" t="n">
        <f aca="false">P41-P42</f>
        <v>5468.96</v>
      </c>
      <c r="Q43" s="26" t="n">
        <f aca="false">Q41-Q42</f>
        <v>5756.42666666667</v>
      </c>
      <c r="R43" s="26" t="n">
        <f aca="false">R41-R42</f>
        <v>5947.57333333333</v>
      </c>
      <c r="S43" s="26" t="n">
        <f aca="false">S41-S42</f>
        <v>7665.65333333334</v>
      </c>
      <c r="T43" s="26" t="n">
        <f aca="false">T41-T42</f>
        <v>7665.65333333334</v>
      </c>
      <c r="U43" s="26" t="n">
        <f aca="false">U41-U42</f>
        <v>7665.65333333334</v>
      </c>
      <c r="V43" s="26" t="n">
        <f aca="false">V41-V42</f>
        <v>9267.25333333334</v>
      </c>
      <c r="W43" s="26" t="n">
        <f aca="false">W41-W42</f>
        <v>9267.25333333334</v>
      </c>
      <c r="X43" s="26" t="n">
        <f aca="false">X41-X42</f>
        <v>8996.96</v>
      </c>
      <c r="Y43" s="26" t="n">
        <f aca="false">Y41-Y42</f>
        <v>9493.49333333334</v>
      </c>
      <c r="Z43" s="26" t="n">
        <f aca="false">Z41-Z42</f>
        <v>9206.02666666667</v>
      </c>
      <c r="AA43" s="26" t="n">
        <f aca="false">AA41-AA42</f>
        <v>11138.6538666667</v>
      </c>
      <c r="AB43" s="26" t="n">
        <f aca="false">AB41-AB42</f>
        <v>11481.1050666667</v>
      </c>
      <c r="AC43" s="26" t="n">
        <f aca="false">AC41-AC42</f>
        <v>11941.0517333333</v>
      </c>
      <c r="AD43" s="26" t="n">
        <f aca="false">AD41-AD42</f>
        <v>12400.9984</v>
      </c>
      <c r="AE43" s="26" t="n">
        <f aca="false">AE41-AE42</f>
        <v>14240.7850666667</v>
      </c>
      <c r="AF43" s="26" t="n">
        <f aca="false">AF41-AF42</f>
        <v>15620.6250666667</v>
      </c>
      <c r="AG43" s="26" t="n">
        <f aca="false">AG41-AG42</f>
        <v>16080.5717333333</v>
      </c>
      <c r="AH43" s="26" t="n">
        <f aca="false">AH41-AH42</f>
        <v>14258.3466666667</v>
      </c>
      <c r="AI43" s="26" t="n">
        <f aca="false">AI41-AI42</f>
        <v>13156.9834666667</v>
      </c>
      <c r="AJ43" s="26" t="n">
        <f aca="false">AJ41-AJ42</f>
        <v>13156.9834666667</v>
      </c>
      <c r="AK43" s="26" t="n">
        <f aca="false">AK41-AK42</f>
        <v>11941.0517333333</v>
      </c>
      <c r="AL43" s="26" t="n">
        <f aca="false">AL41-AL42</f>
        <v>11481.1050666667</v>
      </c>
      <c r="AM43" s="26" t="n">
        <f aca="false">AM41-AM42</f>
        <v>12858.8376746667</v>
      </c>
      <c r="AN43" s="26" t="n">
        <f aca="false">AN41-AN42</f>
        <v>12858.8376746667</v>
      </c>
      <c r="AO43" s="26" t="n">
        <f aca="false">AO41-AO42</f>
        <v>13373.9779413333</v>
      </c>
      <c r="AP43" s="26" t="n">
        <f aca="false">AP41-AP42</f>
        <v>13889.118208</v>
      </c>
      <c r="AQ43" s="26" t="n">
        <f aca="false">AQ41-AQ42</f>
        <v>15949.6792746667</v>
      </c>
      <c r="AR43" s="26" t="n">
        <f aca="false">AR41-AR42</f>
        <v>17495.1000746667</v>
      </c>
      <c r="AS43" s="26" t="n">
        <f aca="false">AS41-AS42</f>
        <v>18010.2403413333</v>
      </c>
      <c r="AT43" s="26" t="n">
        <f aca="false">AT41-AT42</f>
        <v>16689.6080213333</v>
      </c>
      <c r="AU43" s="26" t="n">
        <f aca="false">AU41-AU42</f>
        <v>14735.8214826667</v>
      </c>
      <c r="AV43" s="26" t="n">
        <f aca="false">AV41-AV42</f>
        <v>14735.8214826667</v>
      </c>
      <c r="AW43" s="26" t="n">
        <f aca="false">AW41-AW42</f>
        <v>13373.9779413333</v>
      </c>
      <c r="AX43" s="26" t="n">
        <f aca="false">AX41-AX42</f>
        <v>12858.8376746667</v>
      </c>
      <c r="AY43" s="26" t="n">
        <f aca="false">AY41-AY42</f>
        <v>14401.8981956267</v>
      </c>
      <c r="AZ43" s="26" t="n">
        <f aca="false">AZ41-AZ42</f>
        <v>14401.8981956267</v>
      </c>
      <c r="BA43" s="26" t="n">
        <f aca="false">BA41-BA42</f>
        <v>14978.8552942933</v>
      </c>
      <c r="BB43" s="26" t="n">
        <f aca="false">BB41-BB42</f>
        <v>15555.81239296</v>
      </c>
      <c r="BC43" s="26" t="n">
        <f aca="false">BC41-BC42</f>
        <v>17863.6407876267</v>
      </c>
      <c r="BD43" s="26" t="n">
        <f aca="false">BD41-BD42</f>
        <v>19594.5120836267</v>
      </c>
      <c r="BE43" s="26" t="n">
        <f aca="false">BE41-BE42</f>
        <v>20171.4691822933</v>
      </c>
      <c r="BF43" s="26" t="n">
        <f aca="false">BF41-BF42</f>
        <v>18692.3609838933</v>
      </c>
      <c r="BG43" s="26" t="n">
        <f aca="false">BG41-BG42</f>
        <v>16504.1200605867</v>
      </c>
      <c r="BH43" s="26" t="n">
        <f aca="false">BH41-BH42</f>
        <v>16504.1200605867</v>
      </c>
      <c r="BI43" s="26" t="n">
        <f aca="false">BI41-BI42</f>
        <v>14978.8552942933</v>
      </c>
      <c r="BJ43" s="26" t="n">
        <f aca="false">BJ41-BJ42</f>
        <v>14401.8981956267</v>
      </c>
    </row>
    <row r="44" customFormat="false" ht="15" hidden="false" customHeight="false" outlineLevel="0" collapsed="false">
      <c r="A44" s="9" t="s">
        <v>219</v>
      </c>
      <c r="B44" s="9"/>
      <c r="C44" s="26" t="n">
        <f aca="false">C26*Assumptions!$F$95*C8</f>
        <v>0</v>
      </c>
      <c r="D44" s="26" t="n">
        <f aca="false">D26*Assumptions!$F$95*D8</f>
        <v>0</v>
      </c>
      <c r="E44" s="26" t="n">
        <f aca="false">E26*Assumptions!$F$95*E8</f>
        <v>0</v>
      </c>
      <c r="F44" s="26" t="n">
        <f aca="false">F26*Assumptions!$F$95*F8</f>
        <v>0</v>
      </c>
      <c r="G44" s="26" t="n">
        <f aca="false">G26*Assumptions!$F$95*G8</f>
        <v>0</v>
      </c>
      <c r="H44" s="26" t="n">
        <f aca="false">H26*Assumptions!$F$95*H8</f>
        <v>0</v>
      </c>
      <c r="I44" s="26" t="n">
        <f aca="false">I26*Assumptions!$F$95*I8</f>
        <v>0</v>
      </c>
      <c r="J44" s="26" t="n">
        <f aca="false">J26*Assumptions!$F$95*J8</f>
        <v>0</v>
      </c>
      <c r="K44" s="26" t="n">
        <f aca="false">K26*Assumptions!$F$95*K8</f>
        <v>0</v>
      </c>
      <c r="L44" s="26" t="n">
        <f aca="false">L26*Assumptions!$F$95*L8</f>
        <v>0</v>
      </c>
      <c r="M44" s="26" t="n">
        <f aca="false">M26*Assumptions!$F$95*M8</f>
        <v>27.2222222222221</v>
      </c>
      <c r="N44" s="26" t="n">
        <f aca="false">N26*Assumptions!$F$95*N8</f>
        <v>353.888888888889</v>
      </c>
      <c r="O44" s="26" t="n">
        <f aca="false">O26*Assumptions!$F$95*O8</f>
        <v>0</v>
      </c>
      <c r="P44" s="26" t="n">
        <f aca="false">P26*Assumptions!$F$95*P8</f>
        <v>521.36</v>
      </c>
      <c r="Q44" s="26" t="n">
        <f aca="false">Q26*Assumptions!$F$95*Q8</f>
        <v>455.808888888889</v>
      </c>
      <c r="R44" s="26" t="n">
        <f aca="false">R26*Assumptions!$F$95*R8</f>
        <v>0</v>
      </c>
      <c r="S44" s="26" t="n">
        <f aca="false">S26*Assumptions!$F$95*S8</f>
        <v>0</v>
      </c>
      <c r="T44" s="26" t="n">
        <f aca="false">T26*Assumptions!$F$95*T8</f>
        <v>0</v>
      </c>
      <c r="U44" s="26" t="n">
        <f aca="false">U26*Assumptions!$F$95*U8</f>
        <v>0</v>
      </c>
      <c r="V44" s="26" t="n">
        <f aca="false">V26*Assumptions!$F$95*V8</f>
        <v>0</v>
      </c>
      <c r="W44" s="26" t="n">
        <f aca="false">W26*Assumptions!$F$95*W8</f>
        <v>0</v>
      </c>
      <c r="X44" s="26" t="n">
        <f aca="false">X26*Assumptions!$F$95*X8</f>
        <v>551.848888888891</v>
      </c>
      <c r="Y44" s="26" t="n">
        <f aca="false">Y26*Assumptions!$F$95*Y8</f>
        <v>2864.43111111112</v>
      </c>
      <c r="Z44" s="26" t="n">
        <f aca="false">Z26*Assumptions!$F$95*Z8</f>
        <v>5763.92444444445</v>
      </c>
      <c r="AA44" s="26" t="n">
        <f aca="false">AA26*Assumptions!$F$95*AA8</f>
        <v>8012.72391111112</v>
      </c>
      <c r="AB44" s="26" t="n">
        <f aca="false">AB26*Assumptions!$F$95*AB8</f>
        <v>11434.3089777778</v>
      </c>
      <c r="AC44" s="26" t="n">
        <f aca="false">AC26*Assumptions!$F$95*AC8</f>
        <v>13916.8362666667</v>
      </c>
      <c r="AD44" s="26" t="n">
        <f aca="false">AD26*Assumptions!$F$95*AD8</f>
        <v>15460.3057777778</v>
      </c>
      <c r="AE44" s="26" t="n">
        <f aca="false">AE26*Assumptions!$F$95*AE8</f>
        <v>13247.5441777778</v>
      </c>
      <c r="AF44" s="26" t="n">
        <f aca="false">AF26*Assumptions!$F$95*AF8</f>
        <v>8217.60924444445</v>
      </c>
      <c r="AG44" s="26" t="n">
        <f aca="false">AG26*Assumptions!$F$95*AG8</f>
        <v>2248.61653333334</v>
      </c>
      <c r="AH44" s="26" t="n">
        <f aca="false">AH26*Assumptions!$F$95*AH8</f>
        <v>0</v>
      </c>
      <c r="AI44" s="26" t="n">
        <f aca="false">AI26*Assumptions!$F$95*AI8</f>
        <v>0</v>
      </c>
      <c r="AJ44" s="26" t="n">
        <f aca="false">AJ26*Assumptions!$F$95*AJ8</f>
        <v>0</v>
      </c>
      <c r="AK44" s="26" t="n">
        <f aca="false">AK26*Assumptions!$F$95*AK8</f>
        <v>2482.52728888889</v>
      </c>
      <c r="AL44" s="26" t="n">
        <f aca="false">AL26*Assumptions!$F$95*AL8</f>
        <v>5904.11235555556</v>
      </c>
      <c r="AM44" s="26" t="n">
        <f aca="false">AM26*Assumptions!$F$95*AM8</f>
        <v>10444.7811128889</v>
      </c>
      <c r="AN44" s="26" t="n">
        <f aca="false">AN26*Assumptions!$F$95*AN8</f>
        <v>14276.9563875556</v>
      </c>
      <c r="AO44" s="26" t="n">
        <f aca="false">AO26*Assumptions!$F$95*AO8</f>
        <v>17057.3869511111</v>
      </c>
      <c r="AP44" s="26" t="n">
        <f aca="false">AP26*Assumptions!$F$95*AP8</f>
        <v>18786.0728035556</v>
      </c>
      <c r="AQ44" s="26" t="n">
        <f aca="false">AQ26*Assumptions!$F$95*AQ8</f>
        <v>16307.7798115556</v>
      </c>
      <c r="AR44" s="26" t="n">
        <f aca="false">AR26*Assumptions!$F$95*AR8</f>
        <v>10674.2526862222</v>
      </c>
      <c r="AS44" s="26" t="n">
        <f aca="false">AS26*Assumptions!$F$95*AS8</f>
        <v>3988.98084977778</v>
      </c>
      <c r="AT44" s="26" t="n">
        <f aca="false">AT26*Assumptions!$F$95*AT8</f>
        <v>0</v>
      </c>
      <c r="AU44" s="26" t="n">
        <f aca="false">AU26*Assumptions!$F$95*AU8</f>
        <v>0</v>
      </c>
      <c r="AV44" s="26" t="n">
        <f aca="false">AV26*Assumptions!$F$95*AV8</f>
        <v>0</v>
      </c>
      <c r="AW44" s="26" t="n">
        <f aca="false">AW26*Assumptions!$F$95*AW8</f>
        <v>2780.43056355556</v>
      </c>
      <c r="AX44" s="26" t="n">
        <f aca="false">AX26*Assumptions!$F$95*AX8</f>
        <v>6612.60583822222</v>
      </c>
      <c r="AY44" s="26" t="n">
        <f aca="false">AY26*Assumptions!$F$95*AY8</f>
        <v>11698.1548464356</v>
      </c>
      <c r="AZ44" s="26" t="n">
        <f aca="false">AZ26*Assumptions!$F$95*AZ8</f>
        <v>15990.1911540622</v>
      </c>
      <c r="BA44" s="26" t="n">
        <f aca="false">BA26*Assumptions!$F$95*BA8</f>
        <v>19104.2733852445</v>
      </c>
      <c r="BB44" s="26" t="n">
        <f aca="false">BB26*Assumptions!$F$95*BB8</f>
        <v>21040.4015399822</v>
      </c>
      <c r="BC44" s="26" t="n">
        <f aca="false">BC26*Assumptions!$F$95*BC8</f>
        <v>18264.7133889422</v>
      </c>
      <c r="BD44" s="26" t="n">
        <f aca="false">BD26*Assumptions!$F$95*BD8</f>
        <v>11955.1630085689</v>
      </c>
      <c r="BE44" s="26" t="n">
        <f aca="false">BE26*Assumptions!$F$95*BE8</f>
        <v>4467.65855175111</v>
      </c>
      <c r="BF44" s="26" t="n">
        <f aca="false">BF26*Assumptions!$F$95*BF8</f>
        <v>0</v>
      </c>
      <c r="BG44" s="26" t="n">
        <f aca="false">BG26*Assumptions!$F$95*BG8</f>
        <v>0</v>
      </c>
      <c r="BH44" s="26" t="n">
        <f aca="false">BH26*Assumptions!$F$95*BH8</f>
        <v>0</v>
      </c>
      <c r="BI44" s="26" t="n">
        <f aca="false">BI26*Assumptions!$F$95*BI8</f>
        <v>3114.08223118222</v>
      </c>
      <c r="BJ44" s="26" t="n">
        <f aca="false">BJ26*Assumptions!$F$95*BJ8</f>
        <v>7406.11853880889</v>
      </c>
    </row>
    <row r="45" customFormat="false" ht="15" hidden="false" customHeight="false" outlineLevel="0" collapsed="false">
      <c r="A45" s="9" t="s">
        <v>220</v>
      </c>
      <c r="B45" s="9"/>
      <c r="C45" s="26" t="n">
        <f aca="false">C44</f>
        <v>0</v>
      </c>
      <c r="D45" s="26" t="n">
        <f aca="false">D44-C44</f>
        <v>0</v>
      </c>
      <c r="E45" s="26" t="n">
        <f aca="false">E44-D44</f>
        <v>0</v>
      </c>
      <c r="F45" s="26" t="n">
        <f aca="false">F44-E44</f>
        <v>0</v>
      </c>
      <c r="G45" s="26" t="n">
        <f aca="false">G44-F44</f>
        <v>0</v>
      </c>
      <c r="H45" s="26" t="n">
        <f aca="false">H44-G44</f>
        <v>0</v>
      </c>
      <c r="I45" s="26" t="n">
        <f aca="false">I44-H44</f>
        <v>0</v>
      </c>
      <c r="J45" s="26" t="n">
        <f aca="false">J44-I44</f>
        <v>0</v>
      </c>
      <c r="K45" s="26" t="n">
        <f aca="false">K44-J44</f>
        <v>0</v>
      </c>
      <c r="L45" s="26" t="n">
        <f aca="false">L44-K44</f>
        <v>0</v>
      </c>
      <c r="M45" s="26" t="n">
        <f aca="false">M44-L44</f>
        <v>27.2222222222221</v>
      </c>
      <c r="N45" s="26" t="n">
        <f aca="false">N44-M44</f>
        <v>326.666666666667</v>
      </c>
      <c r="O45" s="26" t="n">
        <f aca="false">O44-N44</f>
        <v>-353.888888888889</v>
      </c>
      <c r="P45" s="26" t="n">
        <f aca="false">P44-O44</f>
        <v>521.36</v>
      </c>
      <c r="Q45" s="26" t="n">
        <f aca="false">Q44-P44</f>
        <v>-65.5511111111107</v>
      </c>
      <c r="R45" s="26" t="n">
        <f aca="false">R44-Q44</f>
        <v>-455.808888888889</v>
      </c>
      <c r="S45" s="26" t="n">
        <f aca="false">S44-R44</f>
        <v>0</v>
      </c>
      <c r="T45" s="26" t="n">
        <f aca="false">T44-S44</f>
        <v>0</v>
      </c>
      <c r="U45" s="26" t="n">
        <f aca="false">U44-T44</f>
        <v>0</v>
      </c>
      <c r="V45" s="26" t="n">
        <f aca="false">V44-U44</f>
        <v>0</v>
      </c>
      <c r="W45" s="26" t="n">
        <f aca="false">W44-V44</f>
        <v>0</v>
      </c>
      <c r="X45" s="26" t="n">
        <f aca="false">X44-W44</f>
        <v>551.848888888891</v>
      </c>
      <c r="Y45" s="26" t="n">
        <f aca="false">Y44-X44</f>
        <v>2312.58222222222</v>
      </c>
      <c r="Z45" s="26" t="n">
        <f aca="false">Z44-Y44</f>
        <v>2899.49333333333</v>
      </c>
      <c r="AA45" s="26" t="n">
        <f aca="false">AA44-Z44</f>
        <v>2248.79946666667</v>
      </c>
      <c r="AB45" s="26" t="n">
        <f aca="false">AB44-AA44</f>
        <v>3421.58506666667</v>
      </c>
      <c r="AC45" s="26" t="n">
        <f aca="false">AC44-AB44</f>
        <v>2482.52728888889</v>
      </c>
      <c r="AD45" s="26" t="n">
        <f aca="false">AD44-AC44</f>
        <v>1543.46951111111</v>
      </c>
      <c r="AE45" s="26" t="n">
        <f aca="false">AE44-AD44</f>
        <v>-2212.7616</v>
      </c>
      <c r="AF45" s="26" t="n">
        <f aca="false">AF44-AE44</f>
        <v>-5029.93493333333</v>
      </c>
      <c r="AG45" s="26" t="n">
        <f aca="false">AG44-AF44</f>
        <v>-5968.99271111111</v>
      </c>
      <c r="AH45" s="26" t="n">
        <f aca="false">AH44-AG44</f>
        <v>-2248.61653333334</v>
      </c>
      <c r="AI45" s="26" t="n">
        <f aca="false">AI44-AH44</f>
        <v>0</v>
      </c>
      <c r="AJ45" s="26" t="n">
        <f aca="false">AJ44-AI44</f>
        <v>0</v>
      </c>
      <c r="AK45" s="26" t="n">
        <f aca="false">AK44-AJ44</f>
        <v>2482.52728888889</v>
      </c>
      <c r="AL45" s="26" t="n">
        <f aca="false">AL44-AK44</f>
        <v>3421.58506666667</v>
      </c>
      <c r="AM45" s="26" t="n">
        <f aca="false">AM44-AL44</f>
        <v>4540.66875733333</v>
      </c>
      <c r="AN45" s="26" t="n">
        <f aca="false">AN44-AM44</f>
        <v>3832.17527466667</v>
      </c>
      <c r="AO45" s="26" t="n">
        <f aca="false">AO44-AN44</f>
        <v>2780.43056355556</v>
      </c>
      <c r="AP45" s="26" t="n">
        <f aca="false">AP44-AO44</f>
        <v>1728.68585244444</v>
      </c>
      <c r="AQ45" s="26" t="n">
        <f aca="false">AQ44-AP44</f>
        <v>-2478.292992</v>
      </c>
      <c r="AR45" s="26" t="n">
        <f aca="false">AR44-AQ44</f>
        <v>-5633.52712533333</v>
      </c>
      <c r="AS45" s="26" t="n">
        <f aca="false">AS44-AR44</f>
        <v>-6685.27183644445</v>
      </c>
      <c r="AT45" s="26" t="n">
        <f aca="false">AT44-AS44</f>
        <v>-3988.98084977778</v>
      </c>
      <c r="AU45" s="26" t="n">
        <f aca="false">AU44-AT44</f>
        <v>0</v>
      </c>
      <c r="AV45" s="26" t="n">
        <f aca="false">AV44-AU44</f>
        <v>0</v>
      </c>
      <c r="AW45" s="26" t="n">
        <f aca="false">AW44-AV44</f>
        <v>2780.43056355556</v>
      </c>
      <c r="AX45" s="26" t="n">
        <f aca="false">AX44-AW44</f>
        <v>3832.17527466667</v>
      </c>
      <c r="AY45" s="26" t="n">
        <f aca="false">AY44-AX44</f>
        <v>5085.54900821334</v>
      </c>
      <c r="AZ45" s="26" t="n">
        <f aca="false">AZ44-AY44</f>
        <v>4292.03630762667</v>
      </c>
      <c r="BA45" s="26" t="n">
        <f aca="false">BA44-AZ44</f>
        <v>3114.08223118222</v>
      </c>
      <c r="BB45" s="26" t="n">
        <f aca="false">BB44-BA44</f>
        <v>1936.12815473778</v>
      </c>
      <c r="BC45" s="26" t="n">
        <f aca="false">BC44-BB44</f>
        <v>-2775.68815104</v>
      </c>
      <c r="BD45" s="26" t="n">
        <f aca="false">BD44-BC44</f>
        <v>-6309.55038037334</v>
      </c>
      <c r="BE45" s="26" t="n">
        <f aca="false">BE44-BD44</f>
        <v>-7487.50445681778</v>
      </c>
      <c r="BF45" s="26" t="n">
        <f aca="false">BF44-BE44</f>
        <v>-4467.65855175111</v>
      </c>
      <c r="BG45" s="26" t="n">
        <f aca="false">BG44-BF44</f>
        <v>0</v>
      </c>
      <c r="BH45" s="26" t="n">
        <f aca="false">BH44-BG44</f>
        <v>0</v>
      </c>
      <c r="BI45" s="26" t="n">
        <f aca="false">BI44-BH44</f>
        <v>3114.08223118222</v>
      </c>
      <c r="BJ45" s="26" t="n">
        <f aca="false">BJ44-BI44</f>
        <v>4292.03630762667</v>
      </c>
    </row>
    <row r="46" customFormat="false" ht="15" hidden="false" customHeight="false" outlineLevel="0" collapsed="false">
      <c r="A46" s="7" t="s">
        <v>221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customFormat="false" ht="15" hidden="false" customHeight="false" outlineLevel="0" collapsed="false">
      <c r="A47" s="9" t="s">
        <v>222</v>
      </c>
      <c r="B47" s="9"/>
      <c r="C47" s="24" t="n">
        <f aca="false">IF(C$3&gt;=Assumptions!$F$8-1,1,0)</f>
        <v>0</v>
      </c>
      <c r="D47" s="24" t="n">
        <f aca="false">IF(D$3&gt;=Assumptions!$F$8-1,1,0)</f>
        <v>0</v>
      </c>
      <c r="E47" s="24" t="n">
        <f aca="false">IF(E$3&gt;=Assumptions!$F$8-1,1,0)</f>
        <v>0</v>
      </c>
      <c r="F47" s="24" t="n">
        <f aca="false">IF(F$3&gt;=Assumptions!$F$8-1,1,0)</f>
        <v>1</v>
      </c>
      <c r="G47" s="24" t="n">
        <f aca="false">IF(G$3&gt;=Assumptions!$F$8-1,1,0)</f>
        <v>1</v>
      </c>
      <c r="H47" s="24" t="n">
        <f aca="false">IF(H$3&gt;=Assumptions!$F$8-1,1,0)</f>
        <v>1</v>
      </c>
      <c r="I47" s="24" t="n">
        <f aca="false">IF(I$3&gt;=Assumptions!$F$8-1,1,0)</f>
        <v>1</v>
      </c>
      <c r="J47" s="24" t="n">
        <f aca="false">IF(J$3&gt;=Assumptions!$F$8-1,1,0)</f>
        <v>1</v>
      </c>
      <c r="K47" s="24" t="n">
        <f aca="false">IF(K$3&gt;=Assumptions!$F$8-1,1,0)</f>
        <v>1</v>
      </c>
      <c r="L47" s="24" t="n">
        <f aca="false">IF(L$3&gt;=Assumptions!$F$8-1,1,0)</f>
        <v>1</v>
      </c>
      <c r="M47" s="24" t="n">
        <f aca="false">IF(M$3&gt;=Assumptions!$F$8-1,1,0)</f>
        <v>1</v>
      </c>
      <c r="N47" s="24" t="n">
        <f aca="false">IF(N$3&gt;=Assumptions!$F$8-1,1,0)</f>
        <v>1</v>
      </c>
      <c r="O47" s="24" t="n">
        <f aca="false">IF(O$3&gt;=Assumptions!$F$8-1,1,0)</f>
        <v>1</v>
      </c>
      <c r="P47" s="24" t="n">
        <f aca="false">IF(P$3&gt;=Assumptions!$F$8-1,1,0)</f>
        <v>1</v>
      </c>
      <c r="Q47" s="24" t="n">
        <f aca="false">IF(Q$3&gt;=Assumptions!$F$8-1,1,0)</f>
        <v>1</v>
      </c>
      <c r="R47" s="24" t="n">
        <f aca="false">IF(R$3&gt;=Assumptions!$F$8-1,1,0)</f>
        <v>1</v>
      </c>
      <c r="S47" s="24" t="n">
        <f aca="false">IF(S$3&gt;=Assumptions!$F$8-1,1,0)</f>
        <v>1</v>
      </c>
      <c r="T47" s="24" t="n">
        <f aca="false">IF(T$3&gt;=Assumptions!$F$8-1,1,0)</f>
        <v>1</v>
      </c>
      <c r="U47" s="24" t="n">
        <f aca="false">IF(U$3&gt;=Assumptions!$F$8-1,1,0)</f>
        <v>1</v>
      </c>
      <c r="V47" s="24" t="n">
        <f aca="false">IF(V$3&gt;=Assumptions!$F$8-1,1,0)</f>
        <v>1</v>
      </c>
      <c r="W47" s="24" t="n">
        <f aca="false">IF(W$3&gt;=Assumptions!$F$8-1,1,0)</f>
        <v>1</v>
      </c>
      <c r="X47" s="24" t="n">
        <f aca="false">IF(X$3&gt;=Assumptions!$F$8-1,1,0)</f>
        <v>1</v>
      </c>
      <c r="Y47" s="24" t="n">
        <f aca="false">IF(Y$3&gt;=Assumptions!$F$8-1,1,0)</f>
        <v>1</v>
      </c>
      <c r="Z47" s="24" t="n">
        <f aca="false">IF(Z$3&gt;=Assumptions!$F$8-1,1,0)</f>
        <v>1</v>
      </c>
      <c r="AA47" s="24" t="n">
        <f aca="false">IF(AA$3&gt;=Assumptions!$F$8-1,1,0)</f>
        <v>1</v>
      </c>
      <c r="AB47" s="24" t="n">
        <f aca="false">IF(AB$3&gt;=Assumptions!$F$8-1,1,0)</f>
        <v>1</v>
      </c>
      <c r="AC47" s="24" t="n">
        <f aca="false">IF(AC$3&gt;=Assumptions!$F$8-1,1,0)</f>
        <v>1</v>
      </c>
      <c r="AD47" s="24" t="n">
        <f aca="false">IF(AD$3&gt;=Assumptions!$F$8-1,1,0)</f>
        <v>1</v>
      </c>
      <c r="AE47" s="24" t="n">
        <f aca="false">IF(AE$3&gt;=Assumptions!$F$8-1,1,0)</f>
        <v>1</v>
      </c>
      <c r="AF47" s="24" t="n">
        <f aca="false">IF(AF$3&gt;=Assumptions!$F$8-1,1,0)</f>
        <v>1</v>
      </c>
      <c r="AG47" s="24" t="n">
        <f aca="false">IF(AG$3&gt;=Assumptions!$F$8-1,1,0)</f>
        <v>1</v>
      </c>
      <c r="AH47" s="24" t="n">
        <f aca="false">IF(AH$3&gt;=Assumptions!$F$8-1,1,0)</f>
        <v>1</v>
      </c>
      <c r="AI47" s="24" t="n">
        <f aca="false">IF(AI$3&gt;=Assumptions!$F$8-1,1,0)</f>
        <v>1</v>
      </c>
      <c r="AJ47" s="24" t="n">
        <f aca="false">IF(AJ$3&gt;=Assumptions!$F$8-1,1,0)</f>
        <v>1</v>
      </c>
      <c r="AK47" s="24" t="n">
        <f aca="false">IF(AK$3&gt;=Assumptions!$F$8-1,1,0)</f>
        <v>1</v>
      </c>
      <c r="AL47" s="24" t="n">
        <f aca="false">IF(AL$3&gt;=Assumptions!$F$8-1,1,0)</f>
        <v>1</v>
      </c>
      <c r="AM47" s="24" t="n">
        <f aca="false">IF(AM$3&gt;=Assumptions!$F$8-1,1,0)</f>
        <v>1</v>
      </c>
      <c r="AN47" s="24" t="n">
        <f aca="false">IF(AN$3&gt;=Assumptions!$F$8-1,1,0)</f>
        <v>1</v>
      </c>
      <c r="AO47" s="24" t="n">
        <f aca="false">IF(AO$3&gt;=Assumptions!$F$8-1,1,0)</f>
        <v>1</v>
      </c>
      <c r="AP47" s="24" t="n">
        <f aca="false">IF(AP$3&gt;=Assumptions!$F$8-1,1,0)</f>
        <v>1</v>
      </c>
      <c r="AQ47" s="24" t="n">
        <f aca="false">IF(AQ$3&gt;=Assumptions!$F$8-1,1,0)</f>
        <v>1</v>
      </c>
      <c r="AR47" s="24" t="n">
        <f aca="false">IF(AR$3&gt;=Assumptions!$F$8-1,1,0)</f>
        <v>1</v>
      </c>
      <c r="AS47" s="24" t="n">
        <f aca="false">IF(AS$3&gt;=Assumptions!$F$8-1,1,0)</f>
        <v>1</v>
      </c>
      <c r="AT47" s="24" t="n">
        <f aca="false">IF(AT$3&gt;=Assumptions!$F$8-1,1,0)</f>
        <v>1</v>
      </c>
      <c r="AU47" s="24" t="n">
        <f aca="false">IF(AU$3&gt;=Assumptions!$F$8-1,1,0)</f>
        <v>1</v>
      </c>
      <c r="AV47" s="24" t="n">
        <f aca="false">IF(AV$3&gt;=Assumptions!$F$8-1,1,0)</f>
        <v>1</v>
      </c>
      <c r="AW47" s="24" t="n">
        <f aca="false">IF(AW$3&gt;=Assumptions!$F$8-1,1,0)</f>
        <v>1</v>
      </c>
      <c r="AX47" s="24" t="n">
        <f aca="false">IF(AX$3&gt;=Assumptions!$F$8-1,1,0)</f>
        <v>1</v>
      </c>
      <c r="AY47" s="24" t="n">
        <f aca="false">IF(AY$3&gt;=Assumptions!$F$8-1,1,0)</f>
        <v>1</v>
      </c>
      <c r="AZ47" s="24" t="n">
        <f aca="false">IF(AZ$3&gt;=Assumptions!$F$8-1,1,0)</f>
        <v>1</v>
      </c>
      <c r="BA47" s="24" t="n">
        <f aca="false">IF(BA$3&gt;=Assumptions!$F$8-1,1,0)</f>
        <v>1</v>
      </c>
      <c r="BB47" s="24" t="n">
        <f aca="false">IF(BB$3&gt;=Assumptions!$F$8-1,1,0)</f>
        <v>1</v>
      </c>
      <c r="BC47" s="24" t="n">
        <f aca="false">IF(BC$3&gt;=Assumptions!$F$8-1,1,0)</f>
        <v>1</v>
      </c>
      <c r="BD47" s="24" t="n">
        <f aca="false">IF(BD$3&gt;=Assumptions!$F$8-1,1,0)</f>
        <v>1</v>
      </c>
      <c r="BE47" s="24" t="n">
        <f aca="false">IF(BE$3&gt;=Assumptions!$F$8-1,1,0)</f>
        <v>1</v>
      </c>
      <c r="BF47" s="24" t="n">
        <f aca="false">IF(BF$3&gt;=Assumptions!$F$8-1,1,0)</f>
        <v>1</v>
      </c>
      <c r="BG47" s="24" t="n">
        <f aca="false">IF(BG$3&gt;=Assumptions!$F$8-1,1,0)</f>
        <v>1</v>
      </c>
      <c r="BH47" s="24" t="n">
        <f aca="false">IF(BH$3&gt;=Assumptions!$F$8-1,1,0)</f>
        <v>1</v>
      </c>
      <c r="BI47" s="24" t="n">
        <f aca="false">IF(BI$3&gt;=Assumptions!$F$8-1,1,0)</f>
        <v>1</v>
      </c>
      <c r="BJ47" s="24" t="n">
        <f aca="false">IF(BJ$3&gt;=Assumptions!$F$8-1,1,0)</f>
        <v>1</v>
      </c>
    </row>
    <row r="48" customFormat="false" ht="15" hidden="false" customHeight="false" outlineLevel="0" collapsed="false">
      <c r="A48" s="9" t="s">
        <v>223</v>
      </c>
      <c r="B48" s="9"/>
      <c r="C48" s="26" t="n">
        <f aca="false">C47*(Assumptions!$F$61+IF(AND(Assumptions!$F$9=1,C$3&gt;=Assumptions!$F$10),Assumptions!$F$62,0))*Assumptions!$F$63*C8</f>
        <v>0</v>
      </c>
      <c r="D48" s="26" t="n">
        <f aca="false">D47*(Assumptions!$F$61+IF(AND(Assumptions!$F$9=1,D$3&gt;=Assumptions!$F$10),Assumptions!$F$62,0))*Assumptions!$F$63*D8</f>
        <v>0</v>
      </c>
      <c r="E48" s="26" t="n">
        <f aca="false">E47*(Assumptions!$F$61+IF(AND(Assumptions!$F$9=1,E$3&gt;=Assumptions!$F$10),Assumptions!$F$62,0))*Assumptions!$F$63*E8</f>
        <v>0</v>
      </c>
      <c r="F48" s="26" t="n">
        <f aca="false">F47*(Assumptions!$F$61+IF(AND(Assumptions!$F$9=1,F$3&gt;=Assumptions!$F$10),Assumptions!$F$62,0))*Assumptions!$F$63*F8</f>
        <v>6000</v>
      </c>
      <c r="G48" s="26" t="n">
        <f aca="false">G47*(Assumptions!$F$61+IF(AND(Assumptions!$F$9=1,G$3&gt;=Assumptions!$F$10),Assumptions!$F$62,0))*Assumptions!$F$63*G8</f>
        <v>6000</v>
      </c>
      <c r="H48" s="26" t="n">
        <f aca="false">H47*(Assumptions!$F$61+IF(AND(Assumptions!$F$9=1,H$3&gt;=Assumptions!$F$10),Assumptions!$F$62,0))*Assumptions!$F$63*H8</f>
        <v>6000</v>
      </c>
      <c r="I48" s="26" t="n">
        <f aca="false">I47*(Assumptions!$F$61+IF(AND(Assumptions!$F$9=1,I$3&gt;=Assumptions!$F$10),Assumptions!$F$62,0))*Assumptions!$F$63*I8</f>
        <v>6000</v>
      </c>
      <c r="J48" s="26" t="n">
        <f aca="false">J47*(Assumptions!$F$61+IF(AND(Assumptions!$F$9=1,J$3&gt;=Assumptions!$F$10),Assumptions!$F$62,0))*Assumptions!$F$63*J8</f>
        <v>6000</v>
      </c>
      <c r="K48" s="26" t="n">
        <f aca="false">K47*(Assumptions!$F$61+IF(AND(Assumptions!$F$9=1,K$3&gt;=Assumptions!$F$10),Assumptions!$F$62,0))*Assumptions!$F$63*K8</f>
        <v>6000</v>
      </c>
      <c r="L48" s="26" t="n">
        <f aca="false">L47*(Assumptions!$F$61+IF(AND(Assumptions!$F$9=1,L$3&gt;=Assumptions!$F$10),Assumptions!$F$62,0))*Assumptions!$F$63*L8</f>
        <v>6000</v>
      </c>
      <c r="M48" s="26" t="n">
        <f aca="false">M47*(Assumptions!$F$61+IF(AND(Assumptions!$F$9=1,M$3&gt;=Assumptions!$F$10),Assumptions!$F$62,0))*Assumptions!$F$63*M8</f>
        <v>6000</v>
      </c>
      <c r="N48" s="26" t="n">
        <f aca="false">N47*(Assumptions!$F$61+IF(AND(Assumptions!$F$9=1,N$3&gt;=Assumptions!$F$10),Assumptions!$F$62,0))*Assumptions!$F$63*N8</f>
        <v>6000</v>
      </c>
      <c r="O48" s="26" t="n">
        <f aca="false">O47*(Assumptions!$F$61+IF(AND(Assumptions!$F$9=1,O$3&gt;=Assumptions!$F$10),Assumptions!$F$62,0))*Assumptions!$F$63*O8</f>
        <v>6720</v>
      </c>
      <c r="P48" s="26" t="n">
        <f aca="false">P47*(Assumptions!$F$61+IF(AND(Assumptions!$F$9=1,P$3&gt;=Assumptions!$F$10),Assumptions!$F$62,0))*Assumptions!$F$63*P8</f>
        <v>6720</v>
      </c>
      <c r="Q48" s="26" t="n">
        <f aca="false">Q47*(Assumptions!$F$61+IF(AND(Assumptions!$F$9=1,Q$3&gt;=Assumptions!$F$10),Assumptions!$F$62,0))*Assumptions!$F$63*Q8</f>
        <v>6720</v>
      </c>
      <c r="R48" s="26" t="n">
        <f aca="false">R47*(Assumptions!$F$61+IF(AND(Assumptions!$F$9=1,R$3&gt;=Assumptions!$F$10),Assumptions!$F$62,0))*Assumptions!$F$63*R8</f>
        <v>6720</v>
      </c>
      <c r="S48" s="26" t="n">
        <f aca="false">S47*(Assumptions!$F$61+IF(AND(Assumptions!$F$9=1,S$3&gt;=Assumptions!$F$10),Assumptions!$F$62,0))*Assumptions!$F$63*S8</f>
        <v>10080</v>
      </c>
      <c r="T48" s="26" t="n">
        <f aca="false">T47*(Assumptions!$F$61+IF(AND(Assumptions!$F$9=1,T$3&gt;=Assumptions!$F$10),Assumptions!$F$62,0))*Assumptions!$F$63*T8</f>
        <v>10080</v>
      </c>
      <c r="U48" s="26" t="n">
        <f aca="false">U47*(Assumptions!$F$61+IF(AND(Assumptions!$F$9=1,U$3&gt;=Assumptions!$F$10),Assumptions!$F$62,0))*Assumptions!$F$63*U8</f>
        <v>10080</v>
      </c>
      <c r="V48" s="26" t="n">
        <f aca="false">V47*(Assumptions!$F$61+IF(AND(Assumptions!$F$9=1,V$3&gt;=Assumptions!$F$10),Assumptions!$F$62,0))*Assumptions!$F$63*V8</f>
        <v>10080</v>
      </c>
      <c r="W48" s="26" t="n">
        <f aca="false">W47*(Assumptions!$F$61+IF(AND(Assumptions!$F$9=1,W$3&gt;=Assumptions!$F$10),Assumptions!$F$62,0))*Assumptions!$F$63*W8</f>
        <v>10080</v>
      </c>
      <c r="X48" s="26" t="n">
        <f aca="false">X47*(Assumptions!$F$61+IF(AND(Assumptions!$F$9=1,X$3&gt;=Assumptions!$F$10),Assumptions!$F$62,0))*Assumptions!$F$63*X8</f>
        <v>10080</v>
      </c>
      <c r="Y48" s="26" t="n">
        <f aca="false">Y47*(Assumptions!$F$61+IF(AND(Assumptions!$F$9=1,Y$3&gt;=Assumptions!$F$10),Assumptions!$F$62,0))*Assumptions!$F$63*Y8</f>
        <v>10080</v>
      </c>
      <c r="Z48" s="26" t="n">
        <f aca="false">Z47*(Assumptions!$F$61+IF(AND(Assumptions!$F$9=1,Z$3&gt;=Assumptions!$F$10),Assumptions!$F$62,0))*Assumptions!$F$63*Z8</f>
        <v>10080</v>
      </c>
      <c r="AA48" s="26" t="n">
        <f aca="false">AA47*(Assumptions!$F$61+IF(AND(Assumptions!$F$9=1,AA$3&gt;=Assumptions!$F$10),Assumptions!$F$62,0))*Assumptions!$F$63*AA8</f>
        <v>11289.6</v>
      </c>
      <c r="AB48" s="26" t="n">
        <f aca="false">AB47*(Assumptions!$F$61+IF(AND(Assumptions!$F$9=1,AB$3&gt;=Assumptions!$F$10),Assumptions!$F$62,0))*Assumptions!$F$63*AB8</f>
        <v>11289.6</v>
      </c>
      <c r="AC48" s="26" t="n">
        <f aca="false">AC47*(Assumptions!$F$61+IF(AND(Assumptions!$F$9=1,AC$3&gt;=Assumptions!$F$10),Assumptions!$F$62,0))*Assumptions!$F$63*AC8</f>
        <v>11289.6</v>
      </c>
      <c r="AD48" s="26" t="n">
        <f aca="false">AD47*(Assumptions!$F$61+IF(AND(Assumptions!$F$9=1,AD$3&gt;=Assumptions!$F$10),Assumptions!$F$62,0))*Assumptions!$F$63*AD8</f>
        <v>11289.6</v>
      </c>
      <c r="AE48" s="26" t="n">
        <f aca="false">AE47*(Assumptions!$F$61+IF(AND(Assumptions!$F$9=1,AE$3&gt;=Assumptions!$F$10),Assumptions!$F$62,0))*Assumptions!$F$63*AE8</f>
        <v>11289.6</v>
      </c>
      <c r="AF48" s="26" t="n">
        <f aca="false">AF47*(Assumptions!$F$61+IF(AND(Assumptions!$F$9=1,AF$3&gt;=Assumptions!$F$10),Assumptions!$F$62,0))*Assumptions!$F$63*AF8</f>
        <v>11289.6</v>
      </c>
      <c r="AG48" s="26" t="n">
        <f aca="false">AG47*(Assumptions!$F$61+IF(AND(Assumptions!$F$9=1,AG$3&gt;=Assumptions!$F$10),Assumptions!$F$62,0))*Assumptions!$F$63*AG8</f>
        <v>11289.6</v>
      </c>
      <c r="AH48" s="26" t="n">
        <f aca="false">AH47*(Assumptions!$F$61+IF(AND(Assumptions!$F$9=1,AH$3&gt;=Assumptions!$F$10),Assumptions!$F$62,0))*Assumptions!$F$63*AH8</f>
        <v>11289.6</v>
      </c>
      <c r="AI48" s="26" t="n">
        <f aca="false">AI47*(Assumptions!$F$61+IF(AND(Assumptions!$F$9=1,AI$3&gt;=Assumptions!$F$10),Assumptions!$F$62,0))*Assumptions!$F$63*AI8</f>
        <v>11289.6</v>
      </c>
      <c r="AJ48" s="26" t="n">
        <f aca="false">AJ47*(Assumptions!$F$61+IF(AND(Assumptions!$F$9=1,AJ$3&gt;=Assumptions!$F$10),Assumptions!$F$62,0))*Assumptions!$F$63*AJ8</f>
        <v>11289.6</v>
      </c>
      <c r="AK48" s="26" t="n">
        <f aca="false">AK47*(Assumptions!$F$61+IF(AND(Assumptions!$F$9=1,AK$3&gt;=Assumptions!$F$10),Assumptions!$F$62,0))*Assumptions!$F$63*AK8</f>
        <v>11289.6</v>
      </c>
      <c r="AL48" s="26" t="n">
        <f aca="false">AL47*(Assumptions!$F$61+IF(AND(Assumptions!$F$9=1,AL$3&gt;=Assumptions!$F$10),Assumptions!$F$62,0))*Assumptions!$F$63*AL8</f>
        <v>11289.6</v>
      </c>
      <c r="AM48" s="26" t="n">
        <f aca="false">AM47*(Assumptions!$F$61+IF(AND(Assumptions!$F$9=1,AM$3&gt;=Assumptions!$F$10),Assumptions!$F$62,0))*Assumptions!$F$63*AM8</f>
        <v>12644.352</v>
      </c>
      <c r="AN48" s="26" t="n">
        <f aca="false">AN47*(Assumptions!$F$61+IF(AND(Assumptions!$F$9=1,AN$3&gt;=Assumptions!$F$10),Assumptions!$F$62,0))*Assumptions!$F$63*AN8</f>
        <v>12644.352</v>
      </c>
      <c r="AO48" s="26" t="n">
        <f aca="false">AO47*(Assumptions!$F$61+IF(AND(Assumptions!$F$9=1,AO$3&gt;=Assumptions!$F$10),Assumptions!$F$62,0))*Assumptions!$F$63*AO8</f>
        <v>12644.352</v>
      </c>
      <c r="AP48" s="26" t="n">
        <f aca="false">AP47*(Assumptions!$F$61+IF(AND(Assumptions!$F$9=1,AP$3&gt;=Assumptions!$F$10),Assumptions!$F$62,0))*Assumptions!$F$63*AP8</f>
        <v>12644.352</v>
      </c>
      <c r="AQ48" s="26" t="n">
        <f aca="false">AQ47*(Assumptions!$F$61+IF(AND(Assumptions!$F$9=1,AQ$3&gt;=Assumptions!$F$10),Assumptions!$F$62,0))*Assumptions!$F$63*AQ8</f>
        <v>12644.352</v>
      </c>
      <c r="AR48" s="26" t="n">
        <f aca="false">AR47*(Assumptions!$F$61+IF(AND(Assumptions!$F$9=1,AR$3&gt;=Assumptions!$F$10),Assumptions!$F$62,0))*Assumptions!$F$63*AR8</f>
        <v>12644.352</v>
      </c>
      <c r="AS48" s="26" t="n">
        <f aca="false">AS47*(Assumptions!$F$61+IF(AND(Assumptions!$F$9=1,AS$3&gt;=Assumptions!$F$10),Assumptions!$F$62,0))*Assumptions!$F$63*AS8</f>
        <v>12644.352</v>
      </c>
      <c r="AT48" s="26" t="n">
        <f aca="false">AT47*(Assumptions!$F$61+IF(AND(Assumptions!$F$9=1,AT$3&gt;=Assumptions!$F$10),Assumptions!$F$62,0))*Assumptions!$F$63*AT8</f>
        <v>12644.352</v>
      </c>
      <c r="AU48" s="26" t="n">
        <f aca="false">AU47*(Assumptions!$F$61+IF(AND(Assumptions!$F$9=1,AU$3&gt;=Assumptions!$F$10),Assumptions!$F$62,0))*Assumptions!$F$63*AU8</f>
        <v>12644.352</v>
      </c>
      <c r="AV48" s="26" t="n">
        <f aca="false">AV47*(Assumptions!$F$61+IF(AND(Assumptions!$F$9=1,AV$3&gt;=Assumptions!$F$10),Assumptions!$F$62,0))*Assumptions!$F$63*AV8</f>
        <v>12644.352</v>
      </c>
      <c r="AW48" s="26" t="n">
        <f aca="false">AW47*(Assumptions!$F$61+IF(AND(Assumptions!$F$9=1,AW$3&gt;=Assumptions!$F$10),Assumptions!$F$62,0))*Assumptions!$F$63*AW8</f>
        <v>12644.352</v>
      </c>
      <c r="AX48" s="26" t="n">
        <f aca="false">AX47*(Assumptions!$F$61+IF(AND(Assumptions!$F$9=1,AX$3&gt;=Assumptions!$F$10),Assumptions!$F$62,0))*Assumptions!$F$63*AX8</f>
        <v>12644.352</v>
      </c>
      <c r="AY48" s="26" t="n">
        <f aca="false">AY47*(Assumptions!$F$61+IF(AND(Assumptions!$F$9=1,AY$3&gt;=Assumptions!$F$10),Assumptions!$F$62,0))*Assumptions!$F$63*AY8</f>
        <v>14161.67424</v>
      </c>
      <c r="AZ48" s="26" t="n">
        <f aca="false">AZ47*(Assumptions!$F$61+IF(AND(Assumptions!$F$9=1,AZ$3&gt;=Assumptions!$F$10),Assumptions!$F$62,0))*Assumptions!$F$63*AZ8</f>
        <v>14161.67424</v>
      </c>
      <c r="BA48" s="26" t="n">
        <f aca="false">BA47*(Assumptions!$F$61+IF(AND(Assumptions!$F$9=1,BA$3&gt;=Assumptions!$F$10),Assumptions!$F$62,0))*Assumptions!$F$63*BA8</f>
        <v>14161.67424</v>
      </c>
      <c r="BB48" s="26" t="n">
        <f aca="false">BB47*(Assumptions!$F$61+IF(AND(Assumptions!$F$9=1,BB$3&gt;=Assumptions!$F$10),Assumptions!$F$62,0))*Assumptions!$F$63*BB8</f>
        <v>14161.67424</v>
      </c>
      <c r="BC48" s="26" t="n">
        <f aca="false">BC47*(Assumptions!$F$61+IF(AND(Assumptions!$F$9=1,BC$3&gt;=Assumptions!$F$10),Assumptions!$F$62,0))*Assumptions!$F$63*BC8</f>
        <v>14161.67424</v>
      </c>
      <c r="BD48" s="26" t="n">
        <f aca="false">BD47*(Assumptions!$F$61+IF(AND(Assumptions!$F$9=1,BD$3&gt;=Assumptions!$F$10),Assumptions!$F$62,0))*Assumptions!$F$63*BD8</f>
        <v>14161.67424</v>
      </c>
      <c r="BE48" s="26" t="n">
        <f aca="false">BE47*(Assumptions!$F$61+IF(AND(Assumptions!$F$9=1,BE$3&gt;=Assumptions!$F$10),Assumptions!$F$62,0))*Assumptions!$F$63*BE8</f>
        <v>14161.67424</v>
      </c>
      <c r="BF48" s="26" t="n">
        <f aca="false">BF47*(Assumptions!$F$61+IF(AND(Assumptions!$F$9=1,BF$3&gt;=Assumptions!$F$10),Assumptions!$F$62,0))*Assumptions!$F$63*BF8</f>
        <v>14161.67424</v>
      </c>
      <c r="BG48" s="26" t="n">
        <f aca="false">BG47*(Assumptions!$F$61+IF(AND(Assumptions!$F$9=1,BG$3&gt;=Assumptions!$F$10),Assumptions!$F$62,0))*Assumptions!$F$63*BG8</f>
        <v>14161.67424</v>
      </c>
      <c r="BH48" s="26" t="n">
        <f aca="false">BH47*(Assumptions!$F$61+IF(AND(Assumptions!$F$9=1,BH$3&gt;=Assumptions!$F$10),Assumptions!$F$62,0))*Assumptions!$F$63*BH8</f>
        <v>14161.67424</v>
      </c>
      <c r="BI48" s="26" t="n">
        <f aca="false">BI47*(Assumptions!$F$61+IF(AND(Assumptions!$F$9=1,BI$3&gt;=Assumptions!$F$10),Assumptions!$F$62,0))*Assumptions!$F$63*BI8</f>
        <v>14161.67424</v>
      </c>
      <c r="BJ48" s="26" t="n">
        <f aca="false">BJ47*(Assumptions!$F$61+IF(AND(Assumptions!$F$9=1,BJ$3&gt;=Assumptions!$F$10),Assumptions!$F$62,0))*Assumptions!$F$63*BJ8</f>
        <v>14161.67424</v>
      </c>
    </row>
    <row r="49" customFormat="false" ht="15" hidden="false" customHeight="false" outlineLevel="0" collapsed="false">
      <c r="A49" s="9" t="s">
        <v>224</v>
      </c>
      <c r="B49" s="9"/>
      <c r="C49" s="26" t="n">
        <f aca="false">(C10+C11)*Assumptions!$F$65*C8</f>
        <v>0</v>
      </c>
      <c r="D49" s="26" t="n">
        <f aca="false">(D10+D11)*Assumptions!$F$65*D8</f>
        <v>0</v>
      </c>
      <c r="E49" s="26" t="n">
        <f aca="false">(E10+E11)*Assumptions!$F$65*E8</f>
        <v>0</v>
      </c>
      <c r="F49" s="26" t="n">
        <f aca="false">(F10+F11)*Assumptions!$F$65*F8</f>
        <v>0</v>
      </c>
      <c r="G49" s="26" t="n">
        <f aca="false">(G10+G11)*Assumptions!$F$65*G8</f>
        <v>480</v>
      </c>
      <c r="H49" s="26" t="n">
        <f aca="false">(H10+H11)*Assumptions!$F$65*H8</f>
        <v>480</v>
      </c>
      <c r="I49" s="26" t="n">
        <f aca="false">(I10+I11)*Assumptions!$F$65*I8</f>
        <v>480</v>
      </c>
      <c r="J49" s="26" t="n">
        <f aca="false">(J10+J11)*Assumptions!$F$65*J8</f>
        <v>480</v>
      </c>
      <c r="K49" s="26" t="n">
        <f aca="false">(K10+K11)*Assumptions!$F$65*K8</f>
        <v>480</v>
      </c>
      <c r="L49" s="26" t="n">
        <f aca="false">(L10+L11)*Assumptions!$F$65*L8</f>
        <v>480</v>
      </c>
      <c r="M49" s="26" t="n">
        <f aca="false">(M10+M11)*Assumptions!$F$65*M8</f>
        <v>480</v>
      </c>
      <c r="N49" s="26" t="n">
        <f aca="false">(N10+N11)*Assumptions!$F$65*N8</f>
        <v>480</v>
      </c>
      <c r="O49" s="26" t="n">
        <f aca="false">(O10+O11)*Assumptions!$F$65*O8</f>
        <v>537.6</v>
      </c>
      <c r="P49" s="26" t="n">
        <f aca="false">(P10+P11)*Assumptions!$F$65*P8</f>
        <v>537.6</v>
      </c>
      <c r="Q49" s="26" t="n">
        <f aca="false">(Q10+Q11)*Assumptions!$F$65*Q8</f>
        <v>537.6</v>
      </c>
      <c r="R49" s="26" t="n">
        <f aca="false">(R10+R11)*Assumptions!$F$65*R8</f>
        <v>537.6</v>
      </c>
      <c r="S49" s="26" t="n">
        <f aca="false">(S10+S11)*Assumptions!$F$65*S8</f>
        <v>1075.2</v>
      </c>
      <c r="T49" s="26" t="n">
        <f aca="false">(T10+T11)*Assumptions!$F$65*T8</f>
        <v>1075.2</v>
      </c>
      <c r="U49" s="26" t="n">
        <f aca="false">(U10+U11)*Assumptions!$F$65*U8</f>
        <v>1075.2</v>
      </c>
      <c r="V49" s="26" t="n">
        <f aca="false">(V10+V11)*Assumptions!$F$65*V8</f>
        <v>1075.2</v>
      </c>
      <c r="W49" s="26" t="n">
        <f aca="false">(W10+W11)*Assumptions!$F$65*W8</f>
        <v>1075.2</v>
      </c>
      <c r="X49" s="26" t="n">
        <f aca="false">(X10+X11)*Assumptions!$F$65*X8</f>
        <v>1075.2</v>
      </c>
      <c r="Y49" s="26" t="n">
        <f aca="false">(Y10+Y11)*Assumptions!$F$65*Y8</f>
        <v>1075.2</v>
      </c>
      <c r="Z49" s="26" t="n">
        <f aca="false">(Z10+Z11)*Assumptions!$F$65*Z8</f>
        <v>1075.2</v>
      </c>
      <c r="AA49" s="26" t="n">
        <f aca="false">(AA10+AA11)*Assumptions!$F$65*AA8</f>
        <v>1204.224</v>
      </c>
      <c r="AB49" s="26" t="n">
        <f aca="false">(AB10+AB11)*Assumptions!$F$65*AB8</f>
        <v>1204.224</v>
      </c>
      <c r="AC49" s="26" t="n">
        <f aca="false">(AC10+AC11)*Assumptions!$F$65*AC8</f>
        <v>1204.224</v>
      </c>
      <c r="AD49" s="26" t="n">
        <f aca="false">(AD10+AD11)*Assumptions!$F$65*AD8</f>
        <v>1204.224</v>
      </c>
      <c r="AE49" s="26" t="n">
        <f aca="false">(AE10+AE11)*Assumptions!$F$65*AE8</f>
        <v>1204.224</v>
      </c>
      <c r="AF49" s="26" t="n">
        <f aca="false">(AF10+AF11)*Assumptions!$F$65*AF8</f>
        <v>1204.224</v>
      </c>
      <c r="AG49" s="26" t="n">
        <f aca="false">(AG10+AG11)*Assumptions!$F$65*AG8</f>
        <v>1204.224</v>
      </c>
      <c r="AH49" s="26" t="n">
        <f aca="false">(AH10+AH11)*Assumptions!$F$65*AH8</f>
        <v>1204.224</v>
      </c>
      <c r="AI49" s="26" t="n">
        <f aca="false">(AI10+AI11)*Assumptions!$F$65*AI8</f>
        <v>1204.224</v>
      </c>
      <c r="AJ49" s="26" t="n">
        <f aca="false">(AJ10+AJ11)*Assumptions!$F$65*AJ8</f>
        <v>1204.224</v>
      </c>
      <c r="AK49" s="26" t="n">
        <f aca="false">(AK10+AK11)*Assumptions!$F$65*AK8</f>
        <v>1204.224</v>
      </c>
      <c r="AL49" s="26" t="n">
        <f aca="false">(AL10+AL11)*Assumptions!$F$65*AL8</f>
        <v>1204.224</v>
      </c>
      <c r="AM49" s="26" t="n">
        <f aca="false">(AM10+AM11)*Assumptions!$F$65*AM8</f>
        <v>1348.73088</v>
      </c>
      <c r="AN49" s="26" t="n">
        <f aca="false">(AN10+AN11)*Assumptions!$F$65*AN8</f>
        <v>1348.73088</v>
      </c>
      <c r="AO49" s="26" t="n">
        <f aca="false">(AO10+AO11)*Assumptions!$F$65*AO8</f>
        <v>1348.73088</v>
      </c>
      <c r="AP49" s="26" t="n">
        <f aca="false">(AP10+AP11)*Assumptions!$F$65*AP8</f>
        <v>1348.73088</v>
      </c>
      <c r="AQ49" s="26" t="n">
        <f aca="false">(AQ10+AQ11)*Assumptions!$F$65*AQ8</f>
        <v>1348.73088</v>
      </c>
      <c r="AR49" s="26" t="n">
        <f aca="false">(AR10+AR11)*Assumptions!$F$65*AR8</f>
        <v>1348.73088</v>
      </c>
      <c r="AS49" s="26" t="n">
        <f aca="false">(AS10+AS11)*Assumptions!$F$65*AS8</f>
        <v>1348.73088</v>
      </c>
      <c r="AT49" s="26" t="n">
        <f aca="false">(AT10+AT11)*Assumptions!$F$65*AT8</f>
        <v>1348.73088</v>
      </c>
      <c r="AU49" s="26" t="n">
        <f aca="false">(AU10+AU11)*Assumptions!$F$65*AU8</f>
        <v>1348.73088</v>
      </c>
      <c r="AV49" s="26" t="n">
        <f aca="false">(AV10+AV11)*Assumptions!$F$65*AV8</f>
        <v>1348.73088</v>
      </c>
      <c r="AW49" s="26" t="n">
        <f aca="false">(AW10+AW11)*Assumptions!$F$65*AW8</f>
        <v>1348.73088</v>
      </c>
      <c r="AX49" s="26" t="n">
        <f aca="false">(AX10+AX11)*Assumptions!$F$65*AX8</f>
        <v>1348.73088</v>
      </c>
      <c r="AY49" s="26" t="n">
        <f aca="false">(AY10+AY11)*Assumptions!$F$65*AY8</f>
        <v>1510.5785856</v>
      </c>
      <c r="AZ49" s="26" t="n">
        <f aca="false">(AZ10+AZ11)*Assumptions!$F$65*AZ8</f>
        <v>1510.5785856</v>
      </c>
      <c r="BA49" s="26" t="n">
        <f aca="false">(BA10+BA11)*Assumptions!$F$65*BA8</f>
        <v>1510.5785856</v>
      </c>
      <c r="BB49" s="26" t="n">
        <f aca="false">(BB10+BB11)*Assumptions!$F$65*BB8</f>
        <v>1510.5785856</v>
      </c>
      <c r="BC49" s="26" t="n">
        <f aca="false">(BC10+BC11)*Assumptions!$F$65*BC8</f>
        <v>1510.5785856</v>
      </c>
      <c r="BD49" s="26" t="n">
        <f aca="false">(BD10+BD11)*Assumptions!$F$65*BD8</f>
        <v>1510.5785856</v>
      </c>
      <c r="BE49" s="26" t="n">
        <f aca="false">(BE10+BE11)*Assumptions!$F$65*BE8</f>
        <v>1510.5785856</v>
      </c>
      <c r="BF49" s="26" t="n">
        <f aca="false">(BF10+BF11)*Assumptions!$F$65*BF8</f>
        <v>1510.5785856</v>
      </c>
      <c r="BG49" s="26" t="n">
        <f aca="false">(BG10+BG11)*Assumptions!$F$65*BG8</f>
        <v>1510.5785856</v>
      </c>
      <c r="BH49" s="26" t="n">
        <f aca="false">(BH10+BH11)*Assumptions!$F$65*BH8</f>
        <v>1510.5785856</v>
      </c>
      <c r="BI49" s="26" t="n">
        <f aca="false">(BI10+BI11)*Assumptions!$F$65*BI8</f>
        <v>1510.5785856</v>
      </c>
      <c r="BJ49" s="26" t="n">
        <f aca="false">(BJ10+BJ11)*Assumptions!$F$65*BJ8</f>
        <v>1510.5785856</v>
      </c>
    </row>
    <row r="50" customFormat="false" ht="15" hidden="false" customHeight="false" outlineLevel="0" collapsed="false">
      <c r="A50" s="9" t="s">
        <v>225</v>
      </c>
      <c r="B50" s="9"/>
      <c r="C50" s="26" t="n">
        <f aca="false">IF(AND(C$3&gt;=Assumptions!$F$8+Assumptions!$F$15,MOD(C$3-Assumptions!$F$8-Assumptions!$F$15,6)=0),Assumptions!$F$66*C8,0)</f>
        <v>0</v>
      </c>
      <c r="D50" s="26" t="n">
        <f aca="false">IF(AND(D$3&gt;=Assumptions!$F$8+Assumptions!$F$15,MOD(D$3-Assumptions!$F$8-Assumptions!$F$15,6)=0),Assumptions!$F$66*D8,0)</f>
        <v>0</v>
      </c>
      <c r="E50" s="26" t="n">
        <f aca="false">IF(AND(E$3&gt;=Assumptions!$F$8+Assumptions!$F$15,MOD(E$3-Assumptions!$F$8-Assumptions!$F$15,6)=0),Assumptions!$F$66*E8,0)</f>
        <v>0</v>
      </c>
      <c r="F50" s="26" t="n">
        <f aca="false">IF(AND(F$3&gt;=Assumptions!$F$8+Assumptions!$F$15,MOD(F$3-Assumptions!$F$8-Assumptions!$F$15,6)=0),Assumptions!$F$66*F8,0)</f>
        <v>0</v>
      </c>
      <c r="G50" s="26" t="n">
        <f aca="false">IF(AND(G$3&gt;=Assumptions!$F$8+Assumptions!$F$15,MOD(G$3-Assumptions!$F$8-Assumptions!$F$15,6)=0),Assumptions!$F$66*G8,0)</f>
        <v>0</v>
      </c>
      <c r="H50" s="26" t="n">
        <f aca="false">IF(AND(H$3&gt;=Assumptions!$F$8+Assumptions!$F$15,MOD(H$3-Assumptions!$F$8-Assumptions!$F$15,6)=0),Assumptions!$F$66*H8,0)</f>
        <v>0</v>
      </c>
      <c r="I50" s="26" t="n">
        <f aca="false">IF(AND(I$3&gt;=Assumptions!$F$8+Assumptions!$F$15,MOD(I$3-Assumptions!$F$8-Assumptions!$F$15,6)=0),Assumptions!$F$66*I8,0)</f>
        <v>0</v>
      </c>
      <c r="J50" s="26" t="n">
        <f aca="false">IF(AND(J$3&gt;=Assumptions!$F$8+Assumptions!$F$15,MOD(J$3-Assumptions!$F$8-Assumptions!$F$15,6)=0),Assumptions!$F$66*J8,0)</f>
        <v>6000</v>
      </c>
      <c r="K50" s="26" t="n">
        <f aca="false">IF(AND(K$3&gt;=Assumptions!$F$8+Assumptions!$F$15,MOD(K$3-Assumptions!$F$8-Assumptions!$F$15,6)=0),Assumptions!$F$66*K8,0)</f>
        <v>0</v>
      </c>
      <c r="L50" s="26" t="n">
        <f aca="false">IF(AND(L$3&gt;=Assumptions!$F$8+Assumptions!$F$15,MOD(L$3-Assumptions!$F$8-Assumptions!$F$15,6)=0),Assumptions!$F$66*L8,0)</f>
        <v>0</v>
      </c>
      <c r="M50" s="26" t="n">
        <f aca="false">IF(AND(M$3&gt;=Assumptions!$F$8+Assumptions!$F$15,MOD(M$3-Assumptions!$F$8-Assumptions!$F$15,6)=0),Assumptions!$F$66*M8,0)</f>
        <v>0</v>
      </c>
      <c r="N50" s="26" t="n">
        <f aca="false">IF(AND(N$3&gt;=Assumptions!$F$8+Assumptions!$F$15,MOD(N$3-Assumptions!$F$8-Assumptions!$F$15,6)=0),Assumptions!$F$66*N8,0)</f>
        <v>0</v>
      </c>
      <c r="O50" s="26" t="n">
        <f aca="false">IF(AND(O$3&gt;=Assumptions!$F$8+Assumptions!$F$15,MOD(O$3-Assumptions!$F$8-Assumptions!$F$15,6)=0),Assumptions!$F$66*O8,0)</f>
        <v>0</v>
      </c>
      <c r="P50" s="26" t="n">
        <f aca="false">IF(AND(P$3&gt;=Assumptions!$F$8+Assumptions!$F$15,MOD(P$3-Assumptions!$F$8-Assumptions!$F$15,6)=0),Assumptions!$F$66*P8,0)</f>
        <v>6720</v>
      </c>
      <c r="Q50" s="26" t="n">
        <f aca="false">IF(AND(Q$3&gt;=Assumptions!$F$8+Assumptions!$F$15,MOD(Q$3-Assumptions!$F$8-Assumptions!$F$15,6)=0),Assumptions!$F$66*Q8,0)</f>
        <v>0</v>
      </c>
      <c r="R50" s="26" t="n">
        <f aca="false">IF(AND(R$3&gt;=Assumptions!$F$8+Assumptions!$F$15,MOD(R$3-Assumptions!$F$8-Assumptions!$F$15,6)=0),Assumptions!$F$66*R8,0)</f>
        <v>0</v>
      </c>
      <c r="S50" s="26" t="n">
        <f aca="false">IF(AND(S$3&gt;=Assumptions!$F$8+Assumptions!$F$15,MOD(S$3-Assumptions!$F$8-Assumptions!$F$15,6)=0),Assumptions!$F$66*S8,0)</f>
        <v>0</v>
      </c>
      <c r="T50" s="26" t="n">
        <f aca="false">IF(AND(T$3&gt;=Assumptions!$F$8+Assumptions!$F$15,MOD(T$3-Assumptions!$F$8-Assumptions!$F$15,6)=0),Assumptions!$F$66*T8,0)</f>
        <v>0</v>
      </c>
      <c r="U50" s="26" t="n">
        <f aca="false">IF(AND(U$3&gt;=Assumptions!$F$8+Assumptions!$F$15,MOD(U$3-Assumptions!$F$8-Assumptions!$F$15,6)=0),Assumptions!$F$66*U8,0)</f>
        <v>0</v>
      </c>
      <c r="V50" s="26" t="n">
        <f aca="false">IF(AND(V$3&gt;=Assumptions!$F$8+Assumptions!$F$15,MOD(V$3-Assumptions!$F$8-Assumptions!$F$15,6)=0),Assumptions!$F$66*V8,0)</f>
        <v>6720</v>
      </c>
      <c r="W50" s="26" t="n">
        <f aca="false">IF(AND(W$3&gt;=Assumptions!$F$8+Assumptions!$F$15,MOD(W$3-Assumptions!$F$8-Assumptions!$F$15,6)=0),Assumptions!$F$66*W8,0)</f>
        <v>0</v>
      </c>
      <c r="X50" s="26" t="n">
        <f aca="false">IF(AND(X$3&gt;=Assumptions!$F$8+Assumptions!$F$15,MOD(X$3-Assumptions!$F$8-Assumptions!$F$15,6)=0),Assumptions!$F$66*X8,0)</f>
        <v>0</v>
      </c>
      <c r="Y50" s="26" t="n">
        <f aca="false">IF(AND(Y$3&gt;=Assumptions!$F$8+Assumptions!$F$15,MOD(Y$3-Assumptions!$F$8-Assumptions!$F$15,6)=0),Assumptions!$F$66*Y8,0)</f>
        <v>0</v>
      </c>
      <c r="Z50" s="26" t="n">
        <f aca="false">IF(AND(Z$3&gt;=Assumptions!$F$8+Assumptions!$F$15,MOD(Z$3-Assumptions!$F$8-Assumptions!$F$15,6)=0),Assumptions!$F$66*Z8,0)</f>
        <v>0</v>
      </c>
      <c r="AA50" s="26" t="n">
        <f aca="false">IF(AND(AA$3&gt;=Assumptions!$F$8+Assumptions!$F$15,MOD(AA$3-Assumptions!$F$8-Assumptions!$F$15,6)=0),Assumptions!$F$66*AA8,0)</f>
        <v>0</v>
      </c>
      <c r="AB50" s="26" t="n">
        <f aca="false">IF(AND(AB$3&gt;=Assumptions!$F$8+Assumptions!$F$15,MOD(AB$3-Assumptions!$F$8-Assumptions!$F$15,6)=0),Assumptions!$F$66*AB8,0)</f>
        <v>7526.4</v>
      </c>
      <c r="AC50" s="26" t="n">
        <f aca="false">IF(AND(AC$3&gt;=Assumptions!$F$8+Assumptions!$F$15,MOD(AC$3-Assumptions!$F$8-Assumptions!$F$15,6)=0),Assumptions!$F$66*AC8,0)</f>
        <v>0</v>
      </c>
      <c r="AD50" s="26" t="n">
        <f aca="false">IF(AND(AD$3&gt;=Assumptions!$F$8+Assumptions!$F$15,MOD(AD$3-Assumptions!$F$8-Assumptions!$F$15,6)=0),Assumptions!$F$66*AD8,0)</f>
        <v>0</v>
      </c>
      <c r="AE50" s="26" t="n">
        <f aca="false">IF(AND(AE$3&gt;=Assumptions!$F$8+Assumptions!$F$15,MOD(AE$3-Assumptions!$F$8-Assumptions!$F$15,6)=0),Assumptions!$F$66*AE8,0)</f>
        <v>0</v>
      </c>
      <c r="AF50" s="26" t="n">
        <f aca="false">IF(AND(AF$3&gt;=Assumptions!$F$8+Assumptions!$F$15,MOD(AF$3-Assumptions!$F$8-Assumptions!$F$15,6)=0),Assumptions!$F$66*AF8,0)</f>
        <v>0</v>
      </c>
      <c r="AG50" s="26" t="n">
        <f aca="false">IF(AND(AG$3&gt;=Assumptions!$F$8+Assumptions!$F$15,MOD(AG$3-Assumptions!$F$8-Assumptions!$F$15,6)=0),Assumptions!$F$66*AG8,0)</f>
        <v>0</v>
      </c>
      <c r="AH50" s="26" t="n">
        <f aca="false">IF(AND(AH$3&gt;=Assumptions!$F$8+Assumptions!$F$15,MOD(AH$3-Assumptions!$F$8-Assumptions!$F$15,6)=0),Assumptions!$F$66*AH8,0)</f>
        <v>7526.4</v>
      </c>
      <c r="AI50" s="26" t="n">
        <f aca="false">IF(AND(AI$3&gt;=Assumptions!$F$8+Assumptions!$F$15,MOD(AI$3-Assumptions!$F$8-Assumptions!$F$15,6)=0),Assumptions!$F$66*AI8,0)</f>
        <v>0</v>
      </c>
      <c r="AJ50" s="26" t="n">
        <f aca="false">IF(AND(AJ$3&gt;=Assumptions!$F$8+Assumptions!$F$15,MOD(AJ$3-Assumptions!$F$8-Assumptions!$F$15,6)=0),Assumptions!$F$66*AJ8,0)</f>
        <v>0</v>
      </c>
      <c r="AK50" s="26" t="n">
        <f aca="false">IF(AND(AK$3&gt;=Assumptions!$F$8+Assumptions!$F$15,MOD(AK$3-Assumptions!$F$8-Assumptions!$F$15,6)=0),Assumptions!$F$66*AK8,0)</f>
        <v>0</v>
      </c>
      <c r="AL50" s="26" t="n">
        <f aca="false">IF(AND(AL$3&gt;=Assumptions!$F$8+Assumptions!$F$15,MOD(AL$3-Assumptions!$F$8-Assumptions!$F$15,6)=0),Assumptions!$F$66*AL8,0)</f>
        <v>0</v>
      </c>
      <c r="AM50" s="26" t="n">
        <f aca="false">IF(AND(AM$3&gt;=Assumptions!$F$8+Assumptions!$F$15,MOD(AM$3-Assumptions!$F$8-Assumptions!$F$15,6)=0),Assumptions!$F$66*AM8,0)</f>
        <v>0</v>
      </c>
      <c r="AN50" s="26" t="n">
        <f aca="false">IF(AND(AN$3&gt;=Assumptions!$F$8+Assumptions!$F$15,MOD(AN$3-Assumptions!$F$8-Assumptions!$F$15,6)=0),Assumptions!$F$66*AN8,0)</f>
        <v>8429.568</v>
      </c>
      <c r="AO50" s="26" t="n">
        <f aca="false">IF(AND(AO$3&gt;=Assumptions!$F$8+Assumptions!$F$15,MOD(AO$3-Assumptions!$F$8-Assumptions!$F$15,6)=0),Assumptions!$F$66*AO8,0)</f>
        <v>0</v>
      </c>
      <c r="AP50" s="26" t="n">
        <f aca="false">IF(AND(AP$3&gt;=Assumptions!$F$8+Assumptions!$F$15,MOD(AP$3-Assumptions!$F$8-Assumptions!$F$15,6)=0),Assumptions!$F$66*AP8,0)</f>
        <v>0</v>
      </c>
      <c r="AQ50" s="26" t="n">
        <f aca="false">IF(AND(AQ$3&gt;=Assumptions!$F$8+Assumptions!$F$15,MOD(AQ$3-Assumptions!$F$8-Assumptions!$F$15,6)=0),Assumptions!$F$66*AQ8,0)</f>
        <v>0</v>
      </c>
      <c r="AR50" s="26" t="n">
        <f aca="false">IF(AND(AR$3&gt;=Assumptions!$F$8+Assumptions!$F$15,MOD(AR$3-Assumptions!$F$8-Assumptions!$F$15,6)=0),Assumptions!$F$66*AR8,0)</f>
        <v>0</v>
      </c>
      <c r="AS50" s="26" t="n">
        <f aca="false">IF(AND(AS$3&gt;=Assumptions!$F$8+Assumptions!$F$15,MOD(AS$3-Assumptions!$F$8-Assumptions!$F$15,6)=0),Assumptions!$F$66*AS8,0)</f>
        <v>0</v>
      </c>
      <c r="AT50" s="26" t="n">
        <f aca="false">IF(AND(AT$3&gt;=Assumptions!$F$8+Assumptions!$F$15,MOD(AT$3-Assumptions!$F$8-Assumptions!$F$15,6)=0),Assumptions!$F$66*AT8,0)</f>
        <v>8429.568</v>
      </c>
      <c r="AU50" s="26" t="n">
        <f aca="false">IF(AND(AU$3&gt;=Assumptions!$F$8+Assumptions!$F$15,MOD(AU$3-Assumptions!$F$8-Assumptions!$F$15,6)=0),Assumptions!$F$66*AU8,0)</f>
        <v>0</v>
      </c>
      <c r="AV50" s="26" t="n">
        <f aca="false">IF(AND(AV$3&gt;=Assumptions!$F$8+Assumptions!$F$15,MOD(AV$3-Assumptions!$F$8-Assumptions!$F$15,6)=0),Assumptions!$F$66*AV8,0)</f>
        <v>0</v>
      </c>
      <c r="AW50" s="26" t="n">
        <f aca="false">IF(AND(AW$3&gt;=Assumptions!$F$8+Assumptions!$F$15,MOD(AW$3-Assumptions!$F$8-Assumptions!$F$15,6)=0),Assumptions!$F$66*AW8,0)</f>
        <v>0</v>
      </c>
      <c r="AX50" s="26" t="n">
        <f aca="false">IF(AND(AX$3&gt;=Assumptions!$F$8+Assumptions!$F$15,MOD(AX$3-Assumptions!$F$8-Assumptions!$F$15,6)=0),Assumptions!$F$66*AX8,0)</f>
        <v>0</v>
      </c>
      <c r="AY50" s="26" t="n">
        <f aca="false">IF(AND(AY$3&gt;=Assumptions!$F$8+Assumptions!$F$15,MOD(AY$3-Assumptions!$F$8-Assumptions!$F$15,6)=0),Assumptions!$F$66*AY8,0)</f>
        <v>0</v>
      </c>
      <c r="AZ50" s="26" t="n">
        <f aca="false">IF(AND(AZ$3&gt;=Assumptions!$F$8+Assumptions!$F$15,MOD(AZ$3-Assumptions!$F$8-Assumptions!$F$15,6)=0),Assumptions!$F$66*AZ8,0)</f>
        <v>9441.11616</v>
      </c>
      <c r="BA50" s="26" t="n">
        <f aca="false">IF(AND(BA$3&gt;=Assumptions!$F$8+Assumptions!$F$15,MOD(BA$3-Assumptions!$F$8-Assumptions!$F$15,6)=0),Assumptions!$F$66*BA8,0)</f>
        <v>0</v>
      </c>
      <c r="BB50" s="26" t="n">
        <f aca="false">IF(AND(BB$3&gt;=Assumptions!$F$8+Assumptions!$F$15,MOD(BB$3-Assumptions!$F$8-Assumptions!$F$15,6)=0),Assumptions!$F$66*BB8,0)</f>
        <v>0</v>
      </c>
      <c r="BC50" s="26" t="n">
        <f aca="false">IF(AND(BC$3&gt;=Assumptions!$F$8+Assumptions!$F$15,MOD(BC$3-Assumptions!$F$8-Assumptions!$F$15,6)=0),Assumptions!$F$66*BC8,0)</f>
        <v>0</v>
      </c>
      <c r="BD50" s="26" t="n">
        <f aca="false">IF(AND(BD$3&gt;=Assumptions!$F$8+Assumptions!$F$15,MOD(BD$3-Assumptions!$F$8-Assumptions!$F$15,6)=0),Assumptions!$F$66*BD8,0)</f>
        <v>0</v>
      </c>
      <c r="BE50" s="26" t="n">
        <f aca="false">IF(AND(BE$3&gt;=Assumptions!$F$8+Assumptions!$F$15,MOD(BE$3-Assumptions!$F$8-Assumptions!$F$15,6)=0),Assumptions!$F$66*BE8,0)</f>
        <v>0</v>
      </c>
      <c r="BF50" s="26" t="n">
        <f aca="false">IF(AND(BF$3&gt;=Assumptions!$F$8+Assumptions!$F$15,MOD(BF$3-Assumptions!$F$8-Assumptions!$F$15,6)=0),Assumptions!$F$66*BF8,0)</f>
        <v>9441.11616</v>
      </c>
      <c r="BG50" s="26" t="n">
        <f aca="false">IF(AND(BG$3&gt;=Assumptions!$F$8+Assumptions!$F$15,MOD(BG$3-Assumptions!$F$8-Assumptions!$F$15,6)=0),Assumptions!$F$66*BG8,0)</f>
        <v>0</v>
      </c>
      <c r="BH50" s="26" t="n">
        <f aca="false">IF(AND(BH$3&gt;=Assumptions!$F$8+Assumptions!$F$15,MOD(BH$3-Assumptions!$F$8-Assumptions!$F$15,6)=0),Assumptions!$F$66*BH8,0)</f>
        <v>0</v>
      </c>
      <c r="BI50" s="26" t="n">
        <f aca="false">IF(AND(BI$3&gt;=Assumptions!$F$8+Assumptions!$F$15,MOD(BI$3-Assumptions!$F$8-Assumptions!$F$15,6)=0),Assumptions!$F$66*BI8,0)</f>
        <v>0</v>
      </c>
      <c r="BJ50" s="26" t="n">
        <f aca="false">IF(AND(BJ$3&gt;=Assumptions!$F$8+Assumptions!$F$15,MOD(BJ$3-Assumptions!$F$8-Assumptions!$F$15,6)=0),Assumptions!$F$66*BJ8,0)</f>
        <v>0</v>
      </c>
    </row>
    <row r="51" customFormat="false" ht="15" hidden="false" customHeight="false" outlineLevel="0" collapsed="false">
      <c r="A51" s="9" t="s">
        <v>226</v>
      </c>
      <c r="B51" s="9"/>
      <c r="C51" s="26" t="n">
        <f aca="false">C47*IF(C$4=1,Assumptions!$F$67,Assumptions!$F$68)/12*C8</f>
        <v>0</v>
      </c>
      <c r="D51" s="26" t="n">
        <f aca="false">D47*IF(D$4=1,Assumptions!$F$67,Assumptions!$F$68)/12*D8</f>
        <v>0</v>
      </c>
      <c r="E51" s="26" t="n">
        <f aca="false">E47*IF(E$4=1,Assumptions!$F$67,Assumptions!$F$68)/12*E8</f>
        <v>0</v>
      </c>
      <c r="F51" s="26" t="n">
        <f aca="false">F47*IF(F$4=1,Assumptions!$F$67,Assumptions!$F$68)/12*F8</f>
        <v>1250</v>
      </c>
      <c r="G51" s="26" t="n">
        <f aca="false">G47*IF(G$4=1,Assumptions!$F$67,Assumptions!$F$68)/12*G8</f>
        <v>1250</v>
      </c>
      <c r="H51" s="26" t="n">
        <f aca="false">H47*IF(H$4=1,Assumptions!$F$67,Assumptions!$F$68)/12*H8</f>
        <v>1250</v>
      </c>
      <c r="I51" s="26" t="n">
        <f aca="false">I47*IF(I$4=1,Assumptions!$F$67,Assumptions!$F$68)/12*I8</f>
        <v>1250</v>
      </c>
      <c r="J51" s="26" t="n">
        <f aca="false">J47*IF(J$4=1,Assumptions!$F$67,Assumptions!$F$68)/12*J8</f>
        <v>1250</v>
      </c>
      <c r="K51" s="26" t="n">
        <f aca="false">K47*IF(K$4=1,Assumptions!$F$67,Assumptions!$F$68)/12*K8</f>
        <v>1250</v>
      </c>
      <c r="L51" s="26" t="n">
        <f aca="false">L47*IF(L$4=1,Assumptions!$F$67,Assumptions!$F$68)/12*L8</f>
        <v>1250</v>
      </c>
      <c r="M51" s="26" t="n">
        <f aca="false">M47*IF(M$4=1,Assumptions!$F$67,Assumptions!$F$68)/12*M8</f>
        <v>1250</v>
      </c>
      <c r="N51" s="26" t="n">
        <f aca="false">N47*IF(N$4=1,Assumptions!$F$67,Assumptions!$F$68)/12*N8</f>
        <v>1250</v>
      </c>
      <c r="O51" s="26" t="n">
        <f aca="false">O47*IF(O$4=1,Assumptions!$F$67,Assumptions!$F$68)/12*O8</f>
        <v>746.666666666667</v>
      </c>
      <c r="P51" s="26" t="n">
        <f aca="false">P47*IF(P$4=1,Assumptions!$F$67,Assumptions!$F$68)/12*P8</f>
        <v>746.666666666667</v>
      </c>
      <c r="Q51" s="26" t="n">
        <f aca="false">Q47*IF(Q$4=1,Assumptions!$F$67,Assumptions!$F$68)/12*Q8</f>
        <v>746.666666666667</v>
      </c>
      <c r="R51" s="26" t="n">
        <f aca="false">R47*IF(R$4=1,Assumptions!$F$67,Assumptions!$F$68)/12*R8</f>
        <v>746.666666666667</v>
      </c>
      <c r="S51" s="26" t="n">
        <f aca="false">S47*IF(S$4=1,Assumptions!$F$67,Assumptions!$F$68)/12*S8</f>
        <v>746.666666666667</v>
      </c>
      <c r="T51" s="26" t="n">
        <f aca="false">T47*IF(T$4=1,Assumptions!$F$67,Assumptions!$F$68)/12*T8</f>
        <v>746.666666666667</v>
      </c>
      <c r="U51" s="26" t="n">
        <f aca="false">U47*IF(U$4=1,Assumptions!$F$67,Assumptions!$F$68)/12*U8</f>
        <v>746.666666666667</v>
      </c>
      <c r="V51" s="26" t="n">
        <f aca="false">V47*IF(V$4=1,Assumptions!$F$67,Assumptions!$F$68)/12*V8</f>
        <v>746.666666666667</v>
      </c>
      <c r="W51" s="26" t="n">
        <f aca="false">W47*IF(W$4=1,Assumptions!$F$67,Assumptions!$F$68)/12*W8</f>
        <v>746.666666666667</v>
      </c>
      <c r="X51" s="26" t="n">
        <f aca="false">X47*IF(X$4=1,Assumptions!$F$67,Assumptions!$F$68)/12*X8</f>
        <v>746.666666666667</v>
      </c>
      <c r="Y51" s="26" t="n">
        <f aca="false">Y47*IF(Y$4=1,Assumptions!$F$67,Assumptions!$F$68)/12*Y8</f>
        <v>746.666666666667</v>
      </c>
      <c r="Z51" s="26" t="n">
        <f aca="false">Z47*IF(Z$4=1,Assumptions!$F$67,Assumptions!$F$68)/12*Z8</f>
        <v>746.666666666667</v>
      </c>
      <c r="AA51" s="26" t="n">
        <f aca="false">AA47*IF(AA$4=1,Assumptions!$F$67,Assumptions!$F$68)/12*AA8</f>
        <v>836.266666666667</v>
      </c>
      <c r="AB51" s="26" t="n">
        <f aca="false">AB47*IF(AB$4=1,Assumptions!$F$67,Assumptions!$F$68)/12*AB8</f>
        <v>836.266666666667</v>
      </c>
      <c r="AC51" s="26" t="n">
        <f aca="false">AC47*IF(AC$4=1,Assumptions!$F$67,Assumptions!$F$68)/12*AC8</f>
        <v>836.266666666667</v>
      </c>
      <c r="AD51" s="26" t="n">
        <f aca="false">AD47*IF(AD$4=1,Assumptions!$F$67,Assumptions!$F$68)/12*AD8</f>
        <v>836.266666666667</v>
      </c>
      <c r="AE51" s="26" t="n">
        <f aca="false">AE47*IF(AE$4=1,Assumptions!$F$67,Assumptions!$F$68)/12*AE8</f>
        <v>836.266666666667</v>
      </c>
      <c r="AF51" s="26" t="n">
        <f aca="false">AF47*IF(AF$4=1,Assumptions!$F$67,Assumptions!$F$68)/12*AF8</f>
        <v>836.266666666667</v>
      </c>
      <c r="AG51" s="26" t="n">
        <f aca="false">AG47*IF(AG$4=1,Assumptions!$F$67,Assumptions!$F$68)/12*AG8</f>
        <v>836.266666666667</v>
      </c>
      <c r="AH51" s="26" t="n">
        <f aca="false">AH47*IF(AH$4=1,Assumptions!$F$67,Assumptions!$F$68)/12*AH8</f>
        <v>836.266666666667</v>
      </c>
      <c r="AI51" s="26" t="n">
        <f aca="false">AI47*IF(AI$4=1,Assumptions!$F$67,Assumptions!$F$68)/12*AI8</f>
        <v>836.266666666667</v>
      </c>
      <c r="AJ51" s="26" t="n">
        <f aca="false">AJ47*IF(AJ$4=1,Assumptions!$F$67,Assumptions!$F$68)/12*AJ8</f>
        <v>836.266666666667</v>
      </c>
      <c r="AK51" s="26" t="n">
        <f aca="false">AK47*IF(AK$4=1,Assumptions!$F$67,Assumptions!$F$68)/12*AK8</f>
        <v>836.266666666667</v>
      </c>
      <c r="AL51" s="26" t="n">
        <f aca="false">AL47*IF(AL$4=1,Assumptions!$F$67,Assumptions!$F$68)/12*AL8</f>
        <v>836.266666666667</v>
      </c>
      <c r="AM51" s="26" t="n">
        <f aca="false">AM47*IF(AM$4=1,Assumptions!$F$67,Assumptions!$F$68)/12*AM8</f>
        <v>936.618666666667</v>
      </c>
      <c r="AN51" s="26" t="n">
        <f aca="false">AN47*IF(AN$4=1,Assumptions!$F$67,Assumptions!$F$68)/12*AN8</f>
        <v>936.618666666667</v>
      </c>
      <c r="AO51" s="26" t="n">
        <f aca="false">AO47*IF(AO$4=1,Assumptions!$F$67,Assumptions!$F$68)/12*AO8</f>
        <v>936.618666666667</v>
      </c>
      <c r="AP51" s="26" t="n">
        <f aca="false">AP47*IF(AP$4=1,Assumptions!$F$67,Assumptions!$F$68)/12*AP8</f>
        <v>936.618666666667</v>
      </c>
      <c r="AQ51" s="26" t="n">
        <f aca="false">AQ47*IF(AQ$4=1,Assumptions!$F$67,Assumptions!$F$68)/12*AQ8</f>
        <v>936.618666666667</v>
      </c>
      <c r="AR51" s="26" t="n">
        <f aca="false">AR47*IF(AR$4=1,Assumptions!$F$67,Assumptions!$F$68)/12*AR8</f>
        <v>936.618666666667</v>
      </c>
      <c r="AS51" s="26" t="n">
        <f aca="false">AS47*IF(AS$4=1,Assumptions!$F$67,Assumptions!$F$68)/12*AS8</f>
        <v>936.618666666667</v>
      </c>
      <c r="AT51" s="26" t="n">
        <f aca="false">AT47*IF(AT$4=1,Assumptions!$F$67,Assumptions!$F$68)/12*AT8</f>
        <v>936.618666666667</v>
      </c>
      <c r="AU51" s="26" t="n">
        <f aca="false">AU47*IF(AU$4=1,Assumptions!$F$67,Assumptions!$F$68)/12*AU8</f>
        <v>936.618666666667</v>
      </c>
      <c r="AV51" s="26" t="n">
        <f aca="false">AV47*IF(AV$4=1,Assumptions!$F$67,Assumptions!$F$68)/12*AV8</f>
        <v>936.618666666667</v>
      </c>
      <c r="AW51" s="26" t="n">
        <f aca="false">AW47*IF(AW$4=1,Assumptions!$F$67,Assumptions!$F$68)/12*AW8</f>
        <v>936.618666666667</v>
      </c>
      <c r="AX51" s="26" t="n">
        <f aca="false">AX47*IF(AX$4=1,Assumptions!$F$67,Assumptions!$F$68)/12*AX8</f>
        <v>936.618666666667</v>
      </c>
      <c r="AY51" s="26" t="n">
        <f aca="false">AY47*IF(AY$4=1,Assumptions!$F$67,Assumptions!$F$68)/12*AY8</f>
        <v>1049.01290666667</v>
      </c>
      <c r="AZ51" s="26" t="n">
        <f aca="false">AZ47*IF(AZ$4=1,Assumptions!$F$67,Assumptions!$F$68)/12*AZ8</f>
        <v>1049.01290666667</v>
      </c>
      <c r="BA51" s="26" t="n">
        <f aca="false">BA47*IF(BA$4=1,Assumptions!$F$67,Assumptions!$F$68)/12*BA8</f>
        <v>1049.01290666667</v>
      </c>
      <c r="BB51" s="26" t="n">
        <f aca="false">BB47*IF(BB$4=1,Assumptions!$F$67,Assumptions!$F$68)/12*BB8</f>
        <v>1049.01290666667</v>
      </c>
      <c r="BC51" s="26" t="n">
        <f aca="false">BC47*IF(BC$4=1,Assumptions!$F$67,Assumptions!$F$68)/12*BC8</f>
        <v>1049.01290666667</v>
      </c>
      <c r="BD51" s="26" t="n">
        <f aca="false">BD47*IF(BD$4=1,Assumptions!$F$67,Assumptions!$F$68)/12*BD8</f>
        <v>1049.01290666667</v>
      </c>
      <c r="BE51" s="26" t="n">
        <f aca="false">BE47*IF(BE$4=1,Assumptions!$F$67,Assumptions!$F$68)/12*BE8</f>
        <v>1049.01290666667</v>
      </c>
      <c r="BF51" s="26" t="n">
        <f aca="false">BF47*IF(BF$4=1,Assumptions!$F$67,Assumptions!$F$68)/12*BF8</f>
        <v>1049.01290666667</v>
      </c>
      <c r="BG51" s="26" t="n">
        <f aca="false">BG47*IF(BG$4=1,Assumptions!$F$67,Assumptions!$F$68)/12*BG8</f>
        <v>1049.01290666667</v>
      </c>
      <c r="BH51" s="26" t="n">
        <f aca="false">BH47*IF(BH$4=1,Assumptions!$F$67,Assumptions!$F$68)/12*BH8</f>
        <v>1049.01290666667</v>
      </c>
      <c r="BI51" s="26" t="n">
        <f aca="false">BI47*IF(BI$4=1,Assumptions!$F$67,Assumptions!$F$68)/12*BI8</f>
        <v>1049.01290666667</v>
      </c>
      <c r="BJ51" s="26" t="n">
        <f aca="false">BJ47*IF(BJ$4=1,Assumptions!$F$67,Assumptions!$F$68)/12*BJ8</f>
        <v>1049.01290666667</v>
      </c>
    </row>
    <row r="52" customFormat="false" ht="15" hidden="false" customHeight="false" outlineLevel="0" collapsed="false">
      <c r="A52" s="9" t="s">
        <v>124</v>
      </c>
      <c r="B52" s="9"/>
      <c r="C52" s="26" t="n">
        <f aca="false">C47*Assumptions!$F$69*C8</f>
        <v>0</v>
      </c>
      <c r="D52" s="26" t="n">
        <f aca="false">D47*Assumptions!$F$69*D8</f>
        <v>0</v>
      </c>
      <c r="E52" s="26" t="n">
        <f aca="false">E47*Assumptions!$F$69*E8</f>
        <v>0</v>
      </c>
      <c r="F52" s="26" t="n">
        <f aca="false">F47*Assumptions!$F$69*F8</f>
        <v>500</v>
      </c>
      <c r="G52" s="26" t="n">
        <f aca="false">G47*Assumptions!$F$69*G8</f>
        <v>500</v>
      </c>
      <c r="H52" s="26" t="n">
        <f aca="false">H47*Assumptions!$F$69*H8</f>
        <v>500</v>
      </c>
      <c r="I52" s="26" t="n">
        <f aca="false">I47*Assumptions!$F$69*I8</f>
        <v>500</v>
      </c>
      <c r="J52" s="26" t="n">
        <f aca="false">J47*Assumptions!$F$69*J8</f>
        <v>500</v>
      </c>
      <c r="K52" s="26" t="n">
        <f aca="false">K47*Assumptions!$F$69*K8</f>
        <v>500</v>
      </c>
      <c r="L52" s="26" t="n">
        <f aca="false">L47*Assumptions!$F$69*L8</f>
        <v>500</v>
      </c>
      <c r="M52" s="26" t="n">
        <f aca="false">M47*Assumptions!$F$69*M8</f>
        <v>500</v>
      </c>
      <c r="N52" s="26" t="n">
        <f aca="false">N47*Assumptions!$F$69*N8</f>
        <v>500</v>
      </c>
      <c r="O52" s="26" t="n">
        <f aca="false">O47*Assumptions!$F$69*O8</f>
        <v>560</v>
      </c>
      <c r="P52" s="26" t="n">
        <f aca="false">P47*Assumptions!$F$69*P8</f>
        <v>560</v>
      </c>
      <c r="Q52" s="26" t="n">
        <f aca="false">Q47*Assumptions!$F$69*Q8</f>
        <v>560</v>
      </c>
      <c r="R52" s="26" t="n">
        <f aca="false">R47*Assumptions!$F$69*R8</f>
        <v>560</v>
      </c>
      <c r="S52" s="26" t="n">
        <f aca="false">S47*Assumptions!$F$69*S8</f>
        <v>560</v>
      </c>
      <c r="T52" s="26" t="n">
        <f aca="false">T47*Assumptions!$F$69*T8</f>
        <v>560</v>
      </c>
      <c r="U52" s="26" t="n">
        <f aca="false">U47*Assumptions!$F$69*U8</f>
        <v>560</v>
      </c>
      <c r="V52" s="26" t="n">
        <f aca="false">V47*Assumptions!$F$69*V8</f>
        <v>560</v>
      </c>
      <c r="W52" s="26" t="n">
        <f aca="false">W47*Assumptions!$F$69*W8</f>
        <v>560</v>
      </c>
      <c r="X52" s="26" t="n">
        <f aca="false">X47*Assumptions!$F$69*X8</f>
        <v>560</v>
      </c>
      <c r="Y52" s="26" t="n">
        <f aca="false">Y47*Assumptions!$F$69*Y8</f>
        <v>560</v>
      </c>
      <c r="Z52" s="26" t="n">
        <f aca="false">Z47*Assumptions!$F$69*Z8</f>
        <v>560</v>
      </c>
      <c r="AA52" s="26" t="n">
        <f aca="false">AA47*Assumptions!$F$69*AA8</f>
        <v>627.2</v>
      </c>
      <c r="AB52" s="26" t="n">
        <f aca="false">AB47*Assumptions!$F$69*AB8</f>
        <v>627.2</v>
      </c>
      <c r="AC52" s="26" t="n">
        <f aca="false">AC47*Assumptions!$F$69*AC8</f>
        <v>627.2</v>
      </c>
      <c r="AD52" s="26" t="n">
        <f aca="false">AD47*Assumptions!$F$69*AD8</f>
        <v>627.2</v>
      </c>
      <c r="AE52" s="26" t="n">
        <f aca="false">AE47*Assumptions!$F$69*AE8</f>
        <v>627.2</v>
      </c>
      <c r="AF52" s="26" t="n">
        <f aca="false">AF47*Assumptions!$F$69*AF8</f>
        <v>627.2</v>
      </c>
      <c r="AG52" s="26" t="n">
        <f aca="false">AG47*Assumptions!$F$69*AG8</f>
        <v>627.2</v>
      </c>
      <c r="AH52" s="26" t="n">
        <f aca="false">AH47*Assumptions!$F$69*AH8</f>
        <v>627.2</v>
      </c>
      <c r="AI52" s="26" t="n">
        <f aca="false">AI47*Assumptions!$F$69*AI8</f>
        <v>627.2</v>
      </c>
      <c r="AJ52" s="26" t="n">
        <f aca="false">AJ47*Assumptions!$F$69*AJ8</f>
        <v>627.2</v>
      </c>
      <c r="AK52" s="26" t="n">
        <f aca="false">AK47*Assumptions!$F$69*AK8</f>
        <v>627.2</v>
      </c>
      <c r="AL52" s="26" t="n">
        <f aca="false">AL47*Assumptions!$F$69*AL8</f>
        <v>627.2</v>
      </c>
      <c r="AM52" s="26" t="n">
        <f aca="false">AM47*Assumptions!$F$69*AM8</f>
        <v>702.464</v>
      </c>
      <c r="AN52" s="26" t="n">
        <f aca="false">AN47*Assumptions!$F$69*AN8</f>
        <v>702.464</v>
      </c>
      <c r="AO52" s="26" t="n">
        <f aca="false">AO47*Assumptions!$F$69*AO8</f>
        <v>702.464</v>
      </c>
      <c r="AP52" s="26" t="n">
        <f aca="false">AP47*Assumptions!$F$69*AP8</f>
        <v>702.464</v>
      </c>
      <c r="AQ52" s="26" t="n">
        <f aca="false">AQ47*Assumptions!$F$69*AQ8</f>
        <v>702.464</v>
      </c>
      <c r="AR52" s="26" t="n">
        <f aca="false">AR47*Assumptions!$F$69*AR8</f>
        <v>702.464</v>
      </c>
      <c r="AS52" s="26" t="n">
        <f aca="false">AS47*Assumptions!$F$69*AS8</f>
        <v>702.464</v>
      </c>
      <c r="AT52" s="26" t="n">
        <f aca="false">AT47*Assumptions!$F$69*AT8</f>
        <v>702.464</v>
      </c>
      <c r="AU52" s="26" t="n">
        <f aca="false">AU47*Assumptions!$F$69*AU8</f>
        <v>702.464</v>
      </c>
      <c r="AV52" s="26" t="n">
        <f aca="false">AV47*Assumptions!$F$69*AV8</f>
        <v>702.464</v>
      </c>
      <c r="AW52" s="26" t="n">
        <f aca="false">AW47*Assumptions!$F$69*AW8</f>
        <v>702.464</v>
      </c>
      <c r="AX52" s="26" t="n">
        <f aca="false">AX47*Assumptions!$F$69*AX8</f>
        <v>702.464</v>
      </c>
      <c r="AY52" s="26" t="n">
        <f aca="false">AY47*Assumptions!$F$69*AY8</f>
        <v>786.75968</v>
      </c>
      <c r="AZ52" s="26" t="n">
        <f aca="false">AZ47*Assumptions!$F$69*AZ8</f>
        <v>786.75968</v>
      </c>
      <c r="BA52" s="26" t="n">
        <f aca="false">BA47*Assumptions!$F$69*BA8</f>
        <v>786.75968</v>
      </c>
      <c r="BB52" s="26" t="n">
        <f aca="false">BB47*Assumptions!$F$69*BB8</f>
        <v>786.75968</v>
      </c>
      <c r="BC52" s="26" t="n">
        <f aca="false">BC47*Assumptions!$F$69*BC8</f>
        <v>786.75968</v>
      </c>
      <c r="BD52" s="26" t="n">
        <f aca="false">BD47*Assumptions!$F$69*BD8</f>
        <v>786.75968</v>
      </c>
      <c r="BE52" s="26" t="n">
        <f aca="false">BE47*Assumptions!$F$69*BE8</f>
        <v>786.75968</v>
      </c>
      <c r="BF52" s="26" t="n">
        <f aca="false">BF47*Assumptions!$F$69*BF8</f>
        <v>786.75968</v>
      </c>
      <c r="BG52" s="26" t="n">
        <f aca="false">BG47*Assumptions!$F$69*BG8</f>
        <v>786.75968</v>
      </c>
      <c r="BH52" s="26" t="n">
        <f aca="false">BH47*Assumptions!$F$69*BH8</f>
        <v>786.75968</v>
      </c>
      <c r="BI52" s="26" t="n">
        <f aca="false">BI47*Assumptions!$F$69*BI8</f>
        <v>786.75968</v>
      </c>
      <c r="BJ52" s="26" t="n">
        <f aca="false">BJ47*Assumptions!$F$69*BJ8</f>
        <v>786.75968</v>
      </c>
    </row>
    <row r="53" customFormat="false" ht="15" hidden="false" customHeight="false" outlineLevel="0" collapsed="false">
      <c r="A53" s="9" t="s">
        <v>125</v>
      </c>
      <c r="B53" s="9"/>
      <c r="C53" s="26" t="n">
        <f aca="false">0</f>
        <v>0</v>
      </c>
      <c r="D53" s="26" t="n">
        <f aca="false">C82*Assumptions!$F$70/12*D8</f>
        <v>0</v>
      </c>
      <c r="E53" s="26" t="n">
        <f aca="false">D82*Assumptions!$F$70/12*E8</f>
        <v>0</v>
      </c>
      <c r="F53" s="26" t="n">
        <f aca="false">E82*Assumptions!$F$70/12*F8</f>
        <v>0</v>
      </c>
      <c r="G53" s="26" t="n">
        <f aca="false">F82*Assumptions!$F$70/12*G8</f>
        <v>533.333333333333</v>
      </c>
      <c r="H53" s="26" t="n">
        <f aca="false">G82*Assumptions!$F$70/12*H8</f>
        <v>533.333333333333</v>
      </c>
      <c r="I53" s="26" t="n">
        <f aca="false">H82*Assumptions!$F$70/12*I8</f>
        <v>533.333333333333</v>
      </c>
      <c r="J53" s="26" t="n">
        <f aca="false">I82*Assumptions!$F$70/12*J8</f>
        <v>533.333333333333</v>
      </c>
      <c r="K53" s="26" t="n">
        <f aca="false">J82*Assumptions!$F$70/12*K8</f>
        <v>533.333333333333</v>
      </c>
      <c r="L53" s="26" t="n">
        <f aca="false">K82*Assumptions!$F$70/12*L8</f>
        <v>533.333333333333</v>
      </c>
      <c r="M53" s="26" t="n">
        <f aca="false">L82*Assumptions!$F$70/12*M8</f>
        <v>533.333333333333</v>
      </c>
      <c r="N53" s="26" t="n">
        <f aca="false">M82*Assumptions!$F$70/12*N8</f>
        <v>533.333333333333</v>
      </c>
      <c r="O53" s="26" t="n">
        <f aca="false">N82*Assumptions!$F$70/12*O8</f>
        <v>597.333333333334</v>
      </c>
      <c r="P53" s="26" t="n">
        <f aca="false">O82*Assumptions!$F$70/12*P8</f>
        <v>597.333333333334</v>
      </c>
      <c r="Q53" s="26" t="n">
        <f aca="false">P82*Assumptions!$F$70/12*Q8</f>
        <v>597.333333333334</v>
      </c>
      <c r="R53" s="26" t="n">
        <f aca="false">Q82*Assumptions!$F$70/12*R8</f>
        <v>597.333333333334</v>
      </c>
      <c r="S53" s="26" t="n">
        <f aca="false">R82*Assumptions!$F$70/12*S8</f>
        <v>1041.6</v>
      </c>
      <c r="T53" s="26" t="n">
        <f aca="false">S82*Assumptions!$F$70/12*T8</f>
        <v>1041.6</v>
      </c>
      <c r="U53" s="26" t="n">
        <f aca="false">T82*Assumptions!$F$70/12*U8</f>
        <v>1041.6</v>
      </c>
      <c r="V53" s="26" t="n">
        <f aca="false">U82*Assumptions!$F$70/12*V8</f>
        <v>1041.6</v>
      </c>
      <c r="W53" s="26" t="n">
        <f aca="false">V82*Assumptions!$F$70/12*W8</f>
        <v>1041.6</v>
      </c>
      <c r="X53" s="26" t="n">
        <f aca="false">W82*Assumptions!$F$70/12*X8</f>
        <v>1041.6</v>
      </c>
      <c r="Y53" s="26" t="n">
        <f aca="false">X82*Assumptions!$F$70/12*Y8</f>
        <v>1041.6</v>
      </c>
      <c r="Z53" s="26" t="n">
        <f aca="false">Y82*Assumptions!$F$70/12*Z8</f>
        <v>1041.6</v>
      </c>
      <c r="AA53" s="26" t="n">
        <f aca="false">Z82*Assumptions!$F$70/12*AA8</f>
        <v>1166.592</v>
      </c>
      <c r="AB53" s="26" t="n">
        <f aca="false">AA82*Assumptions!$F$70/12*AB8</f>
        <v>1166.592</v>
      </c>
      <c r="AC53" s="26" t="n">
        <f aca="false">AB82*Assumptions!$F$70/12*AC8</f>
        <v>1166.592</v>
      </c>
      <c r="AD53" s="26" t="n">
        <f aca="false">AC82*Assumptions!$F$70/12*AD8</f>
        <v>1166.592</v>
      </c>
      <c r="AE53" s="26" t="n">
        <f aca="false">AD82*Assumptions!$F$70/12*AE8</f>
        <v>1166.592</v>
      </c>
      <c r="AF53" s="26" t="n">
        <f aca="false">AE82*Assumptions!$F$70/12*AF8</f>
        <v>1166.592</v>
      </c>
      <c r="AG53" s="26" t="n">
        <f aca="false">AF82*Assumptions!$F$70/12*AG8</f>
        <v>1166.592</v>
      </c>
      <c r="AH53" s="26" t="n">
        <f aca="false">AG82*Assumptions!$F$70/12*AH8</f>
        <v>1166.592</v>
      </c>
      <c r="AI53" s="26" t="n">
        <f aca="false">AH82*Assumptions!$F$70/12*AI8</f>
        <v>1166.592</v>
      </c>
      <c r="AJ53" s="26" t="n">
        <f aca="false">AI82*Assumptions!$F$70/12*AJ8</f>
        <v>1166.592</v>
      </c>
      <c r="AK53" s="26" t="n">
        <f aca="false">AJ82*Assumptions!$F$70/12*AK8</f>
        <v>1166.592</v>
      </c>
      <c r="AL53" s="26" t="n">
        <f aca="false">AK82*Assumptions!$F$70/12*AL8</f>
        <v>1166.592</v>
      </c>
      <c r="AM53" s="26" t="n">
        <f aca="false">AL82*Assumptions!$F$70/12*AM8</f>
        <v>1306.58304</v>
      </c>
      <c r="AN53" s="26" t="n">
        <f aca="false">AM82*Assumptions!$F$70/12*AN8</f>
        <v>1306.58304</v>
      </c>
      <c r="AO53" s="26" t="n">
        <f aca="false">AN82*Assumptions!$F$70/12*AO8</f>
        <v>1306.58304</v>
      </c>
      <c r="AP53" s="26" t="n">
        <f aca="false">AO82*Assumptions!$F$70/12*AP8</f>
        <v>1306.58304</v>
      </c>
      <c r="AQ53" s="26" t="n">
        <f aca="false">AP82*Assumptions!$F$70/12*AQ8</f>
        <v>1306.58304</v>
      </c>
      <c r="AR53" s="26" t="n">
        <f aca="false">AQ82*Assumptions!$F$70/12*AR8</f>
        <v>1306.58304</v>
      </c>
      <c r="AS53" s="26" t="n">
        <f aca="false">AR82*Assumptions!$F$70/12*AS8</f>
        <v>1306.58304</v>
      </c>
      <c r="AT53" s="26" t="n">
        <f aca="false">AS82*Assumptions!$F$70/12*AT8</f>
        <v>1306.58304</v>
      </c>
      <c r="AU53" s="26" t="n">
        <f aca="false">AT82*Assumptions!$F$70/12*AU8</f>
        <v>1306.58304</v>
      </c>
      <c r="AV53" s="26" t="n">
        <f aca="false">AU82*Assumptions!$F$70/12*AV8</f>
        <v>1306.58304</v>
      </c>
      <c r="AW53" s="26" t="n">
        <f aca="false">AV82*Assumptions!$F$70/12*AW8</f>
        <v>1306.58304</v>
      </c>
      <c r="AX53" s="26" t="n">
        <f aca="false">AW82*Assumptions!$F$70/12*AX8</f>
        <v>1306.58304</v>
      </c>
      <c r="AY53" s="26" t="n">
        <f aca="false">AX82*Assumptions!$F$70/12*AY8</f>
        <v>1463.3730048</v>
      </c>
      <c r="AZ53" s="26" t="n">
        <f aca="false">AY82*Assumptions!$F$70/12*AZ8</f>
        <v>1463.3730048</v>
      </c>
      <c r="BA53" s="26" t="n">
        <f aca="false">AZ82*Assumptions!$F$70/12*BA8</f>
        <v>1463.3730048</v>
      </c>
      <c r="BB53" s="26" t="n">
        <f aca="false">BA82*Assumptions!$F$70/12*BB8</f>
        <v>1463.3730048</v>
      </c>
      <c r="BC53" s="26" t="n">
        <f aca="false">BB82*Assumptions!$F$70/12*BC8</f>
        <v>1463.3730048</v>
      </c>
      <c r="BD53" s="26" t="n">
        <f aca="false">BC82*Assumptions!$F$70/12*BD8</f>
        <v>1463.3730048</v>
      </c>
      <c r="BE53" s="26" t="n">
        <f aca="false">BD82*Assumptions!$F$70/12*BE8</f>
        <v>1463.3730048</v>
      </c>
      <c r="BF53" s="26" t="n">
        <f aca="false">BE82*Assumptions!$F$70/12*BF8</f>
        <v>1463.3730048</v>
      </c>
      <c r="BG53" s="26" t="n">
        <f aca="false">BF82*Assumptions!$F$70/12*BG8</f>
        <v>1463.3730048</v>
      </c>
      <c r="BH53" s="26" t="n">
        <f aca="false">BG82*Assumptions!$F$70/12*BH8</f>
        <v>1463.3730048</v>
      </c>
      <c r="BI53" s="26" t="n">
        <f aca="false">BH82*Assumptions!$F$70/12*BI8</f>
        <v>1463.3730048</v>
      </c>
      <c r="BJ53" s="26" t="n">
        <f aca="false">BI82*Assumptions!$F$70/12*BJ8</f>
        <v>1463.3730048</v>
      </c>
    </row>
    <row r="54" customFormat="false" ht="15" hidden="false" customHeight="false" outlineLevel="0" collapsed="false">
      <c r="A54" s="9" t="s">
        <v>227</v>
      </c>
      <c r="B54" s="9"/>
      <c r="C54" s="26" t="n">
        <f aca="false">IF(C$3=2,Assumptions!$F$71,0)+IF(AND(C$3&gt;12,MOD(C$3,12)=2),Assumptions!$F$72*C8,0)</f>
        <v>0</v>
      </c>
      <c r="D54" s="26" t="n">
        <f aca="false">IF(D$3=2,Assumptions!$F$71,0)+IF(AND(D$3&gt;12,MOD(D$3,12)=2),Assumptions!$F$72*D8,0)</f>
        <v>2000</v>
      </c>
      <c r="E54" s="26" t="n">
        <f aca="false">IF(E$3=2,Assumptions!$F$71,0)+IF(AND(E$3&gt;12,MOD(E$3,12)=2),Assumptions!$F$72*E8,0)</f>
        <v>0</v>
      </c>
      <c r="F54" s="26" t="n">
        <f aca="false">IF(F$3=2,Assumptions!$F$71,0)+IF(AND(F$3&gt;12,MOD(F$3,12)=2),Assumptions!$F$72*F8,0)</f>
        <v>0</v>
      </c>
      <c r="G54" s="26" t="n">
        <f aca="false">IF(G$3=2,Assumptions!$F$71,0)+IF(AND(G$3&gt;12,MOD(G$3,12)=2),Assumptions!$F$72*G8,0)</f>
        <v>0</v>
      </c>
      <c r="H54" s="26" t="n">
        <f aca="false">IF(H$3=2,Assumptions!$F$71,0)+IF(AND(H$3&gt;12,MOD(H$3,12)=2),Assumptions!$F$72*H8,0)</f>
        <v>0</v>
      </c>
      <c r="I54" s="26" t="n">
        <f aca="false">IF(I$3=2,Assumptions!$F$71,0)+IF(AND(I$3&gt;12,MOD(I$3,12)=2),Assumptions!$F$72*I8,0)</f>
        <v>0</v>
      </c>
      <c r="J54" s="26" t="n">
        <f aca="false">IF(J$3=2,Assumptions!$F$71,0)+IF(AND(J$3&gt;12,MOD(J$3,12)=2),Assumptions!$F$72*J8,0)</f>
        <v>0</v>
      </c>
      <c r="K54" s="26" t="n">
        <f aca="false">IF(K$3=2,Assumptions!$F$71,0)+IF(AND(K$3&gt;12,MOD(K$3,12)=2),Assumptions!$F$72*K8,0)</f>
        <v>0</v>
      </c>
      <c r="L54" s="26" t="n">
        <f aca="false">IF(L$3=2,Assumptions!$F$71,0)+IF(AND(L$3&gt;12,MOD(L$3,12)=2),Assumptions!$F$72*L8,0)</f>
        <v>0</v>
      </c>
      <c r="M54" s="26" t="n">
        <f aca="false">IF(M$3=2,Assumptions!$F$71,0)+IF(AND(M$3&gt;12,MOD(M$3,12)=2),Assumptions!$F$72*M8,0)</f>
        <v>0</v>
      </c>
      <c r="N54" s="26" t="n">
        <f aca="false">IF(N$3=2,Assumptions!$F$71,0)+IF(AND(N$3&gt;12,MOD(N$3,12)=2),Assumptions!$F$72*N8,0)</f>
        <v>0</v>
      </c>
      <c r="O54" s="26" t="n">
        <f aca="false">IF(O$3=2,Assumptions!$F$71,0)+IF(AND(O$3&gt;12,MOD(O$3,12)=2),Assumptions!$F$72*O8,0)</f>
        <v>0</v>
      </c>
      <c r="P54" s="26" t="n">
        <f aca="false">IF(P$3=2,Assumptions!$F$71,0)+IF(AND(P$3&gt;12,MOD(P$3,12)=2),Assumptions!$F$72*P8,0)</f>
        <v>1680</v>
      </c>
      <c r="Q54" s="26" t="n">
        <f aca="false">IF(Q$3=2,Assumptions!$F$71,0)+IF(AND(Q$3&gt;12,MOD(Q$3,12)=2),Assumptions!$F$72*Q8,0)</f>
        <v>0</v>
      </c>
      <c r="R54" s="26" t="n">
        <f aca="false">IF(R$3=2,Assumptions!$F$71,0)+IF(AND(R$3&gt;12,MOD(R$3,12)=2),Assumptions!$F$72*R8,0)</f>
        <v>0</v>
      </c>
      <c r="S54" s="26" t="n">
        <f aca="false">IF(S$3=2,Assumptions!$F$71,0)+IF(AND(S$3&gt;12,MOD(S$3,12)=2),Assumptions!$F$72*S8,0)</f>
        <v>0</v>
      </c>
      <c r="T54" s="26" t="n">
        <f aca="false">IF(T$3=2,Assumptions!$F$71,0)+IF(AND(T$3&gt;12,MOD(T$3,12)=2),Assumptions!$F$72*T8,0)</f>
        <v>0</v>
      </c>
      <c r="U54" s="26" t="n">
        <f aca="false">IF(U$3=2,Assumptions!$F$71,0)+IF(AND(U$3&gt;12,MOD(U$3,12)=2),Assumptions!$F$72*U8,0)</f>
        <v>0</v>
      </c>
      <c r="V54" s="26" t="n">
        <f aca="false">IF(V$3=2,Assumptions!$F$71,0)+IF(AND(V$3&gt;12,MOD(V$3,12)=2),Assumptions!$F$72*V8,0)</f>
        <v>0</v>
      </c>
      <c r="W54" s="26" t="n">
        <f aca="false">IF(W$3=2,Assumptions!$F$71,0)+IF(AND(W$3&gt;12,MOD(W$3,12)=2),Assumptions!$F$72*W8,0)</f>
        <v>0</v>
      </c>
      <c r="X54" s="26" t="n">
        <f aca="false">IF(X$3=2,Assumptions!$F$71,0)+IF(AND(X$3&gt;12,MOD(X$3,12)=2),Assumptions!$F$72*X8,0)</f>
        <v>0</v>
      </c>
      <c r="Y54" s="26" t="n">
        <f aca="false">IF(Y$3=2,Assumptions!$F$71,0)+IF(AND(Y$3&gt;12,MOD(Y$3,12)=2),Assumptions!$F$72*Y8,0)</f>
        <v>0</v>
      </c>
      <c r="Z54" s="26" t="n">
        <f aca="false">IF(Z$3=2,Assumptions!$F$71,0)+IF(AND(Z$3&gt;12,MOD(Z$3,12)=2),Assumptions!$F$72*Z8,0)</f>
        <v>0</v>
      </c>
      <c r="AA54" s="26" t="n">
        <f aca="false">IF(AA$3=2,Assumptions!$F$71,0)+IF(AND(AA$3&gt;12,MOD(AA$3,12)=2),Assumptions!$F$72*AA8,0)</f>
        <v>0</v>
      </c>
      <c r="AB54" s="26" t="n">
        <f aca="false">IF(AB$3=2,Assumptions!$F$71,0)+IF(AND(AB$3&gt;12,MOD(AB$3,12)=2),Assumptions!$F$72*AB8,0)</f>
        <v>1881.6</v>
      </c>
      <c r="AC54" s="26" t="n">
        <f aca="false">IF(AC$3=2,Assumptions!$F$71,0)+IF(AND(AC$3&gt;12,MOD(AC$3,12)=2),Assumptions!$F$72*AC8,0)</f>
        <v>0</v>
      </c>
      <c r="AD54" s="26" t="n">
        <f aca="false">IF(AD$3=2,Assumptions!$F$71,0)+IF(AND(AD$3&gt;12,MOD(AD$3,12)=2),Assumptions!$F$72*AD8,0)</f>
        <v>0</v>
      </c>
      <c r="AE54" s="26" t="n">
        <f aca="false">IF(AE$3=2,Assumptions!$F$71,0)+IF(AND(AE$3&gt;12,MOD(AE$3,12)=2),Assumptions!$F$72*AE8,0)</f>
        <v>0</v>
      </c>
      <c r="AF54" s="26" t="n">
        <f aca="false">IF(AF$3=2,Assumptions!$F$71,0)+IF(AND(AF$3&gt;12,MOD(AF$3,12)=2),Assumptions!$F$72*AF8,0)</f>
        <v>0</v>
      </c>
      <c r="AG54" s="26" t="n">
        <f aca="false">IF(AG$3=2,Assumptions!$F$71,0)+IF(AND(AG$3&gt;12,MOD(AG$3,12)=2),Assumptions!$F$72*AG8,0)</f>
        <v>0</v>
      </c>
      <c r="AH54" s="26" t="n">
        <f aca="false">IF(AH$3=2,Assumptions!$F$71,0)+IF(AND(AH$3&gt;12,MOD(AH$3,12)=2),Assumptions!$F$72*AH8,0)</f>
        <v>0</v>
      </c>
      <c r="AI54" s="26" t="n">
        <f aca="false">IF(AI$3=2,Assumptions!$F$71,0)+IF(AND(AI$3&gt;12,MOD(AI$3,12)=2),Assumptions!$F$72*AI8,0)</f>
        <v>0</v>
      </c>
      <c r="AJ54" s="26" t="n">
        <f aca="false">IF(AJ$3=2,Assumptions!$F$71,0)+IF(AND(AJ$3&gt;12,MOD(AJ$3,12)=2),Assumptions!$F$72*AJ8,0)</f>
        <v>0</v>
      </c>
      <c r="AK54" s="26" t="n">
        <f aca="false">IF(AK$3=2,Assumptions!$F$71,0)+IF(AND(AK$3&gt;12,MOD(AK$3,12)=2),Assumptions!$F$72*AK8,0)</f>
        <v>0</v>
      </c>
      <c r="AL54" s="26" t="n">
        <f aca="false">IF(AL$3=2,Assumptions!$F$71,0)+IF(AND(AL$3&gt;12,MOD(AL$3,12)=2),Assumptions!$F$72*AL8,0)</f>
        <v>0</v>
      </c>
      <c r="AM54" s="26" t="n">
        <f aca="false">IF(AM$3=2,Assumptions!$F$71,0)+IF(AND(AM$3&gt;12,MOD(AM$3,12)=2),Assumptions!$F$72*AM8,0)</f>
        <v>0</v>
      </c>
      <c r="AN54" s="26" t="n">
        <f aca="false">IF(AN$3=2,Assumptions!$F$71,0)+IF(AND(AN$3&gt;12,MOD(AN$3,12)=2),Assumptions!$F$72*AN8,0)</f>
        <v>2107.392</v>
      </c>
      <c r="AO54" s="26" t="n">
        <f aca="false">IF(AO$3=2,Assumptions!$F$71,0)+IF(AND(AO$3&gt;12,MOD(AO$3,12)=2),Assumptions!$F$72*AO8,0)</f>
        <v>0</v>
      </c>
      <c r="AP54" s="26" t="n">
        <f aca="false">IF(AP$3=2,Assumptions!$F$71,0)+IF(AND(AP$3&gt;12,MOD(AP$3,12)=2),Assumptions!$F$72*AP8,0)</f>
        <v>0</v>
      </c>
      <c r="AQ54" s="26" t="n">
        <f aca="false">IF(AQ$3=2,Assumptions!$F$71,0)+IF(AND(AQ$3&gt;12,MOD(AQ$3,12)=2),Assumptions!$F$72*AQ8,0)</f>
        <v>0</v>
      </c>
      <c r="AR54" s="26" t="n">
        <f aca="false">IF(AR$3=2,Assumptions!$F$71,0)+IF(AND(AR$3&gt;12,MOD(AR$3,12)=2),Assumptions!$F$72*AR8,0)</f>
        <v>0</v>
      </c>
      <c r="AS54" s="26" t="n">
        <f aca="false">IF(AS$3=2,Assumptions!$F$71,0)+IF(AND(AS$3&gt;12,MOD(AS$3,12)=2),Assumptions!$F$72*AS8,0)</f>
        <v>0</v>
      </c>
      <c r="AT54" s="26" t="n">
        <f aca="false">IF(AT$3=2,Assumptions!$F$71,0)+IF(AND(AT$3&gt;12,MOD(AT$3,12)=2),Assumptions!$F$72*AT8,0)</f>
        <v>0</v>
      </c>
      <c r="AU54" s="26" t="n">
        <f aca="false">IF(AU$3=2,Assumptions!$F$71,0)+IF(AND(AU$3&gt;12,MOD(AU$3,12)=2),Assumptions!$F$72*AU8,0)</f>
        <v>0</v>
      </c>
      <c r="AV54" s="26" t="n">
        <f aca="false">IF(AV$3=2,Assumptions!$F$71,0)+IF(AND(AV$3&gt;12,MOD(AV$3,12)=2),Assumptions!$F$72*AV8,0)</f>
        <v>0</v>
      </c>
      <c r="AW54" s="26" t="n">
        <f aca="false">IF(AW$3=2,Assumptions!$F$71,0)+IF(AND(AW$3&gt;12,MOD(AW$3,12)=2),Assumptions!$F$72*AW8,0)</f>
        <v>0</v>
      </c>
      <c r="AX54" s="26" t="n">
        <f aca="false">IF(AX$3=2,Assumptions!$F$71,0)+IF(AND(AX$3&gt;12,MOD(AX$3,12)=2),Assumptions!$F$72*AX8,0)</f>
        <v>0</v>
      </c>
      <c r="AY54" s="26" t="n">
        <f aca="false">IF(AY$3=2,Assumptions!$F$71,0)+IF(AND(AY$3&gt;12,MOD(AY$3,12)=2),Assumptions!$F$72*AY8,0)</f>
        <v>0</v>
      </c>
      <c r="AZ54" s="26" t="n">
        <f aca="false">IF(AZ$3=2,Assumptions!$F$71,0)+IF(AND(AZ$3&gt;12,MOD(AZ$3,12)=2),Assumptions!$F$72*AZ8,0)</f>
        <v>2360.27904</v>
      </c>
      <c r="BA54" s="26" t="n">
        <f aca="false">IF(BA$3=2,Assumptions!$F$71,0)+IF(AND(BA$3&gt;12,MOD(BA$3,12)=2),Assumptions!$F$72*BA8,0)</f>
        <v>0</v>
      </c>
      <c r="BB54" s="26" t="n">
        <f aca="false">IF(BB$3=2,Assumptions!$F$71,0)+IF(AND(BB$3&gt;12,MOD(BB$3,12)=2),Assumptions!$F$72*BB8,0)</f>
        <v>0</v>
      </c>
      <c r="BC54" s="26" t="n">
        <f aca="false">IF(BC$3=2,Assumptions!$F$71,0)+IF(AND(BC$3&gt;12,MOD(BC$3,12)=2),Assumptions!$F$72*BC8,0)</f>
        <v>0</v>
      </c>
      <c r="BD54" s="26" t="n">
        <f aca="false">IF(BD$3=2,Assumptions!$F$71,0)+IF(AND(BD$3&gt;12,MOD(BD$3,12)=2),Assumptions!$F$72*BD8,0)</f>
        <v>0</v>
      </c>
      <c r="BE54" s="26" t="n">
        <f aca="false">IF(BE$3=2,Assumptions!$F$71,0)+IF(AND(BE$3&gt;12,MOD(BE$3,12)=2),Assumptions!$F$72*BE8,0)</f>
        <v>0</v>
      </c>
      <c r="BF54" s="26" t="n">
        <f aca="false">IF(BF$3=2,Assumptions!$F$71,0)+IF(AND(BF$3&gt;12,MOD(BF$3,12)=2),Assumptions!$F$72*BF8,0)</f>
        <v>0</v>
      </c>
      <c r="BG54" s="26" t="n">
        <f aca="false">IF(BG$3=2,Assumptions!$F$71,0)+IF(AND(BG$3&gt;12,MOD(BG$3,12)=2),Assumptions!$F$72*BG8,0)</f>
        <v>0</v>
      </c>
      <c r="BH54" s="26" t="n">
        <f aca="false">IF(BH$3=2,Assumptions!$F$71,0)+IF(AND(BH$3&gt;12,MOD(BH$3,12)=2),Assumptions!$F$72*BH8,0)</f>
        <v>0</v>
      </c>
      <c r="BI54" s="26" t="n">
        <f aca="false">IF(BI$3=2,Assumptions!$F$71,0)+IF(AND(BI$3&gt;12,MOD(BI$3,12)=2),Assumptions!$F$72*BI8,0)</f>
        <v>0</v>
      </c>
      <c r="BJ54" s="26" t="n">
        <f aca="false">IF(BJ$3=2,Assumptions!$F$71,0)+IF(AND(BJ$3&gt;12,MOD(BJ$3,12)=2),Assumptions!$F$72*BJ8,0)</f>
        <v>0</v>
      </c>
    </row>
    <row r="55" customFormat="false" ht="15" hidden="false" customHeight="false" outlineLevel="0" collapsed="false">
      <c r="A55" s="9" t="s">
        <v>228</v>
      </c>
      <c r="B55" s="9"/>
      <c r="C55" s="26" t="n">
        <f aca="false">IF(C$3=Assumptions!$F$8,Assumptions!$F$73*Assumptions!$F$74,0)</f>
        <v>0</v>
      </c>
      <c r="D55" s="26" t="n">
        <f aca="false">IF(D$3=Assumptions!$F$8,Assumptions!$F$73*Assumptions!$F$74,0)</f>
        <v>0</v>
      </c>
      <c r="E55" s="26" t="n">
        <f aca="false">IF(E$3=Assumptions!$F$8,Assumptions!$F$73*Assumptions!$F$74,0)</f>
        <v>0</v>
      </c>
      <c r="F55" s="26" t="n">
        <f aca="false">IF(F$3=Assumptions!$F$8,Assumptions!$F$73*Assumptions!$F$74,0)</f>
        <v>0</v>
      </c>
      <c r="G55" s="26" t="n">
        <f aca="false">IF(G$3=Assumptions!$F$8,Assumptions!$F$73*Assumptions!$F$74,0)</f>
        <v>10800</v>
      </c>
      <c r="H55" s="26" t="n">
        <f aca="false">IF(H$3=Assumptions!$F$8,Assumptions!$F$73*Assumptions!$F$74,0)</f>
        <v>0</v>
      </c>
      <c r="I55" s="26" t="n">
        <f aca="false">IF(I$3=Assumptions!$F$8,Assumptions!$F$73*Assumptions!$F$74,0)</f>
        <v>0</v>
      </c>
      <c r="J55" s="26" t="n">
        <f aca="false">IF(J$3=Assumptions!$F$8,Assumptions!$F$73*Assumptions!$F$74,0)</f>
        <v>0</v>
      </c>
      <c r="K55" s="26" t="n">
        <f aca="false">IF(K$3=Assumptions!$F$8,Assumptions!$F$73*Assumptions!$F$74,0)</f>
        <v>0</v>
      </c>
      <c r="L55" s="26" t="n">
        <f aca="false">IF(L$3=Assumptions!$F$8,Assumptions!$F$73*Assumptions!$F$74,0)</f>
        <v>0</v>
      </c>
      <c r="M55" s="26" t="n">
        <f aca="false">IF(M$3=Assumptions!$F$8,Assumptions!$F$73*Assumptions!$F$74,0)</f>
        <v>0</v>
      </c>
      <c r="N55" s="26" t="n">
        <f aca="false">IF(N$3=Assumptions!$F$8,Assumptions!$F$73*Assumptions!$F$74,0)</f>
        <v>0</v>
      </c>
      <c r="O55" s="26" t="n">
        <f aca="false">IF(O$3=Assumptions!$F$8,Assumptions!$F$73*Assumptions!$F$74,0)</f>
        <v>0</v>
      </c>
      <c r="P55" s="26" t="n">
        <f aca="false">IF(P$3=Assumptions!$F$8,Assumptions!$F$73*Assumptions!$F$74,0)</f>
        <v>0</v>
      </c>
      <c r="Q55" s="26" t="n">
        <f aca="false">IF(Q$3=Assumptions!$F$8,Assumptions!$F$73*Assumptions!$F$74,0)</f>
        <v>0</v>
      </c>
      <c r="R55" s="26" t="n">
        <f aca="false">IF(R$3=Assumptions!$F$8,Assumptions!$F$73*Assumptions!$F$74,0)</f>
        <v>0</v>
      </c>
      <c r="S55" s="26" t="n">
        <f aca="false">IF(S$3=Assumptions!$F$8,Assumptions!$F$73*Assumptions!$F$74,0)</f>
        <v>0</v>
      </c>
      <c r="T55" s="26" t="n">
        <f aca="false">IF(T$3=Assumptions!$F$8,Assumptions!$F$73*Assumptions!$F$74,0)</f>
        <v>0</v>
      </c>
      <c r="U55" s="26" t="n">
        <f aca="false">IF(U$3=Assumptions!$F$8,Assumptions!$F$73*Assumptions!$F$74,0)</f>
        <v>0</v>
      </c>
      <c r="V55" s="26" t="n">
        <f aca="false">IF(V$3=Assumptions!$F$8,Assumptions!$F$73*Assumptions!$F$74,0)</f>
        <v>0</v>
      </c>
      <c r="W55" s="26" t="n">
        <f aca="false">IF(W$3=Assumptions!$F$8,Assumptions!$F$73*Assumptions!$F$74,0)</f>
        <v>0</v>
      </c>
      <c r="X55" s="26" t="n">
        <f aca="false">IF(X$3=Assumptions!$F$8,Assumptions!$F$73*Assumptions!$F$74,0)</f>
        <v>0</v>
      </c>
      <c r="Y55" s="26" t="n">
        <f aca="false">IF(Y$3=Assumptions!$F$8,Assumptions!$F$73*Assumptions!$F$74,0)</f>
        <v>0</v>
      </c>
      <c r="Z55" s="26" t="n">
        <f aca="false">IF(Z$3=Assumptions!$F$8,Assumptions!$F$73*Assumptions!$F$74,0)</f>
        <v>0</v>
      </c>
      <c r="AA55" s="26" t="n">
        <f aca="false">IF(AA$3=Assumptions!$F$8,Assumptions!$F$73*Assumptions!$F$74,0)</f>
        <v>0</v>
      </c>
      <c r="AB55" s="26" t="n">
        <f aca="false">IF(AB$3=Assumptions!$F$8,Assumptions!$F$73*Assumptions!$F$74,0)</f>
        <v>0</v>
      </c>
      <c r="AC55" s="26" t="n">
        <f aca="false">IF(AC$3=Assumptions!$F$8,Assumptions!$F$73*Assumptions!$F$74,0)</f>
        <v>0</v>
      </c>
      <c r="AD55" s="26" t="n">
        <f aca="false">IF(AD$3=Assumptions!$F$8,Assumptions!$F$73*Assumptions!$F$74,0)</f>
        <v>0</v>
      </c>
      <c r="AE55" s="26" t="n">
        <f aca="false">IF(AE$3=Assumptions!$F$8,Assumptions!$F$73*Assumptions!$F$74,0)</f>
        <v>0</v>
      </c>
      <c r="AF55" s="26" t="n">
        <f aca="false">IF(AF$3=Assumptions!$F$8,Assumptions!$F$73*Assumptions!$F$74,0)</f>
        <v>0</v>
      </c>
      <c r="AG55" s="26" t="n">
        <f aca="false">IF(AG$3=Assumptions!$F$8,Assumptions!$F$73*Assumptions!$F$74,0)</f>
        <v>0</v>
      </c>
      <c r="AH55" s="26" t="n">
        <f aca="false">IF(AH$3=Assumptions!$F$8,Assumptions!$F$73*Assumptions!$F$74,0)</f>
        <v>0</v>
      </c>
      <c r="AI55" s="26" t="n">
        <f aca="false">IF(AI$3=Assumptions!$F$8,Assumptions!$F$73*Assumptions!$F$74,0)</f>
        <v>0</v>
      </c>
      <c r="AJ55" s="26" t="n">
        <f aca="false">IF(AJ$3=Assumptions!$F$8,Assumptions!$F$73*Assumptions!$F$74,0)</f>
        <v>0</v>
      </c>
      <c r="AK55" s="26" t="n">
        <f aca="false">IF(AK$3=Assumptions!$F$8,Assumptions!$F$73*Assumptions!$F$74,0)</f>
        <v>0</v>
      </c>
      <c r="AL55" s="26" t="n">
        <f aca="false">IF(AL$3=Assumptions!$F$8,Assumptions!$F$73*Assumptions!$F$74,0)</f>
        <v>0</v>
      </c>
      <c r="AM55" s="26" t="n">
        <f aca="false">IF(AM$3=Assumptions!$F$8,Assumptions!$F$73*Assumptions!$F$74,0)</f>
        <v>0</v>
      </c>
      <c r="AN55" s="26" t="n">
        <f aca="false">IF(AN$3=Assumptions!$F$8,Assumptions!$F$73*Assumptions!$F$74,0)</f>
        <v>0</v>
      </c>
      <c r="AO55" s="26" t="n">
        <f aca="false">IF(AO$3=Assumptions!$F$8,Assumptions!$F$73*Assumptions!$F$74,0)</f>
        <v>0</v>
      </c>
      <c r="AP55" s="26" t="n">
        <f aca="false">IF(AP$3=Assumptions!$F$8,Assumptions!$F$73*Assumptions!$F$74,0)</f>
        <v>0</v>
      </c>
      <c r="AQ55" s="26" t="n">
        <f aca="false">IF(AQ$3=Assumptions!$F$8,Assumptions!$F$73*Assumptions!$F$74,0)</f>
        <v>0</v>
      </c>
      <c r="AR55" s="26" t="n">
        <f aca="false">IF(AR$3=Assumptions!$F$8,Assumptions!$F$73*Assumptions!$F$74,0)</f>
        <v>0</v>
      </c>
      <c r="AS55" s="26" t="n">
        <f aca="false">IF(AS$3=Assumptions!$F$8,Assumptions!$F$73*Assumptions!$F$74,0)</f>
        <v>0</v>
      </c>
      <c r="AT55" s="26" t="n">
        <f aca="false">IF(AT$3=Assumptions!$F$8,Assumptions!$F$73*Assumptions!$F$74,0)</f>
        <v>0</v>
      </c>
      <c r="AU55" s="26" t="n">
        <f aca="false">IF(AU$3=Assumptions!$F$8,Assumptions!$F$73*Assumptions!$F$74,0)</f>
        <v>0</v>
      </c>
      <c r="AV55" s="26" t="n">
        <f aca="false">IF(AV$3=Assumptions!$F$8,Assumptions!$F$73*Assumptions!$F$74,0)</f>
        <v>0</v>
      </c>
      <c r="AW55" s="26" t="n">
        <f aca="false">IF(AW$3=Assumptions!$F$8,Assumptions!$F$73*Assumptions!$F$74,0)</f>
        <v>0</v>
      </c>
      <c r="AX55" s="26" t="n">
        <f aca="false">IF(AX$3=Assumptions!$F$8,Assumptions!$F$73*Assumptions!$F$74,0)</f>
        <v>0</v>
      </c>
      <c r="AY55" s="26" t="n">
        <f aca="false">IF(AY$3=Assumptions!$F$8,Assumptions!$F$73*Assumptions!$F$74,0)</f>
        <v>0</v>
      </c>
      <c r="AZ55" s="26" t="n">
        <f aca="false">IF(AZ$3=Assumptions!$F$8,Assumptions!$F$73*Assumptions!$F$74,0)</f>
        <v>0</v>
      </c>
      <c r="BA55" s="26" t="n">
        <f aca="false">IF(BA$3=Assumptions!$F$8,Assumptions!$F$73*Assumptions!$F$74,0)</f>
        <v>0</v>
      </c>
      <c r="BB55" s="26" t="n">
        <f aca="false">IF(BB$3=Assumptions!$F$8,Assumptions!$F$73*Assumptions!$F$74,0)</f>
        <v>0</v>
      </c>
      <c r="BC55" s="26" t="n">
        <f aca="false">IF(BC$3=Assumptions!$F$8,Assumptions!$F$73*Assumptions!$F$74,0)</f>
        <v>0</v>
      </c>
      <c r="BD55" s="26" t="n">
        <f aca="false">IF(BD$3=Assumptions!$F$8,Assumptions!$F$73*Assumptions!$F$74,0)</f>
        <v>0</v>
      </c>
      <c r="BE55" s="26" t="n">
        <f aca="false">IF(BE$3=Assumptions!$F$8,Assumptions!$F$73*Assumptions!$F$74,0)</f>
        <v>0</v>
      </c>
      <c r="BF55" s="26" t="n">
        <f aca="false">IF(BF$3=Assumptions!$F$8,Assumptions!$F$73*Assumptions!$F$74,0)</f>
        <v>0</v>
      </c>
      <c r="BG55" s="26" t="n">
        <f aca="false">IF(BG$3=Assumptions!$F$8,Assumptions!$F$73*Assumptions!$F$74,0)</f>
        <v>0</v>
      </c>
      <c r="BH55" s="26" t="n">
        <f aca="false">IF(BH$3=Assumptions!$F$8,Assumptions!$F$73*Assumptions!$F$74,0)</f>
        <v>0</v>
      </c>
      <c r="BI55" s="26" t="n">
        <f aca="false">IF(BI$3=Assumptions!$F$8,Assumptions!$F$73*Assumptions!$F$74,0)</f>
        <v>0</v>
      </c>
      <c r="BJ55" s="26" t="n">
        <f aca="false">IF(BJ$3=Assumptions!$F$8,Assumptions!$F$73*Assumptions!$F$74,0)</f>
        <v>0</v>
      </c>
    </row>
    <row r="56" customFormat="false" ht="15" hidden="false" customHeight="false" outlineLevel="0" collapsed="false">
      <c r="A56" s="3" t="s">
        <v>229</v>
      </c>
      <c r="B56" s="9"/>
      <c r="C56" s="14" t="n">
        <f aca="false">C48+C49+C50+C51+C52+C53+C54+C55</f>
        <v>0</v>
      </c>
      <c r="D56" s="14" t="n">
        <f aca="false">D48+D49+D50+D51+D52+D53+D54+D55</f>
        <v>2000</v>
      </c>
      <c r="E56" s="14" t="n">
        <f aca="false">E48+E49+E50+E51+E52+E53+E54+E55</f>
        <v>0</v>
      </c>
      <c r="F56" s="14" t="n">
        <f aca="false">F48+F49+F50+F51+F52+F53+F54+F55</f>
        <v>7750</v>
      </c>
      <c r="G56" s="14" t="n">
        <f aca="false">G48+G49+G50+G51+G52+G53+G54+G55</f>
        <v>19563.3333333333</v>
      </c>
      <c r="H56" s="14" t="n">
        <f aca="false">H48+H49+H50+H51+H52+H53+H54+H55</f>
        <v>8763.33333333333</v>
      </c>
      <c r="I56" s="14" t="n">
        <f aca="false">I48+I49+I50+I51+I52+I53+I54+I55</f>
        <v>8763.33333333333</v>
      </c>
      <c r="J56" s="14" t="n">
        <f aca="false">J48+J49+J50+J51+J52+J53+J54+J55</f>
        <v>14763.3333333333</v>
      </c>
      <c r="K56" s="14" t="n">
        <f aca="false">K48+K49+K50+K51+K52+K53+K54+K55</f>
        <v>8763.33333333333</v>
      </c>
      <c r="L56" s="14" t="n">
        <f aca="false">L48+L49+L50+L51+L52+L53+L54+L55</f>
        <v>8763.33333333333</v>
      </c>
      <c r="M56" s="14" t="n">
        <f aca="false">M48+M49+M50+M51+M52+M53+M54+M55</f>
        <v>8763.33333333333</v>
      </c>
      <c r="N56" s="14" t="n">
        <f aca="false">N48+N49+N50+N51+N52+N53+N54+N55</f>
        <v>8763.33333333333</v>
      </c>
      <c r="O56" s="14" t="n">
        <f aca="false">O48+O49+O50+O51+O52+O53+O54+O55</f>
        <v>9161.6</v>
      </c>
      <c r="P56" s="14" t="n">
        <f aca="false">P48+P49+P50+P51+P52+P53+P54+P55</f>
        <v>17561.6</v>
      </c>
      <c r="Q56" s="14" t="n">
        <f aca="false">Q48+Q49+Q50+Q51+Q52+Q53+Q54+Q55</f>
        <v>9161.6</v>
      </c>
      <c r="R56" s="14" t="n">
        <f aca="false">R48+R49+R50+R51+R52+R53+R54+R55</f>
        <v>9161.6</v>
      </c>
      <c r="S56" s="14" t="n">
        <f aca="false">S48+S49+S50+S51+S52+S53+S54+S55</f>
        <v>13503.4666666667</v>
      </c>
      <c r="T56" s="14" t="n">
        <f aca="false">T48+T49+T50+T51+T52+T53+T54+T55</f>
        <v>13503.4666666667</v>
      </c>
      <c r="U56" s="14" t="n">
        <f aca="false">U48+U49+U50+U51+U52+U53+U54+U55</f>
        <v>13503.4666666667</v>
      </c>
      <c r="V56" s="14" t="n">
        <f aca="false">V48+V49+V50+V51+V52+V53+V54+V55</f>
        <v>20223.4666666667</v>
      </c>
      <c r="W56" s="14" t="n">
        <f aca="false">W48+W49+W50+W51+W52+W53+W54+W55</f>
        <v>13503.4666666667</v>
      </c>
      <c r="X56" s="14" t="n">
        <f aca="false">X48+X49+X50+X51+X52+X53+X54+X55</f>
        <v>13503.4666666667</v>
      </c>
      <c r="Y56" s="14" t="n">
        <f aca="false">Y48+Y49+Y50+Y51+Y52+Y53+Y54+Y55</f>
        <v>13503.4666666667</v>
      </c>
      <c r="Z56" s="14" t="n">
        <f aca="false">Z48+Z49+Z50+Z51+Z52+Z53+Z54+Z55</f>
        <v>13503.4666666667</v>
      </c>
      <c r="AA56" s="14" t="n">
        <f aca="false">AA48+AA49+AA50+AA51+AA52+AA53+AA54+AA55</f>
        <v>15123.8826666667</v>
      </c>
      <c r="AB56" s="14" t="n">
        <f aca="false">AB48+AB49+AB50+AB51+AB52+AB53+AB54+AB55</f>
        <v>24531.8826666667</v>
      </c>
      <c r="AC56" s="14" t="n">
        <f aca="false">AC48+AC49+AC50+AC51+AC52+AC53+AC54+AC55</f>
        <v>15123.8826666667</v>
      </c>
      <c r="AD56" s="14" t="n">
        <f aca="false">AD48+AD49+AD50+AD51+AD52+AD53+AD54+AD55</f>
        <v>15123.8826666667</v>
      </c>
      <c r="AE56" s="14" t="n">
        <f aca="false">AE48+AE49+AE50+AE51+AE52+AE53+AE54+AE55</f>
        <v>15123.8826666667</v>
      </c>
      <c r="AF56" s="14" t="n">
        <f aca="false">AF48+AF49+AF50+AF51+AF52+AF53+AF54+AF55</f>
        <v>15123.8826666667</v>
      </c>
      <c r="AG56" s="14" t="n">
        <f aca="false">AG48+AG49+AG50+AG51+AG52+AG53+AG54+AG55</f>
        <v>15123.8826666667</v>
      </c>
      <c r="AH56" s="14" t="n">
        <f aca="false">AH48+AH49+AH50+AH51+AH52+AH53+AH54+AH55</f>
        <v>22650.2826666667</v>
      </c>
      <c r="AI56" s="14" t="n">
        <f aca="false">AI48+AI49+AI50+AI51+AI52+AI53+AI54+AI55</f>
        <v>15123.8826666667</v>
      </c>
      <c r="AJ56" s="14" t="n">
        <f aca="false">AJ48+AJ49+AJ50+AJ51+AJ52+AJ53+AJ54+AJ55</f>
        <v>15123.8826666667</v>
      </c>
      <c r="AK56" s="14" t="n">
        <f aca="false">AK48+AK49+AK50+AK51+AK52+AK53+AK54+AK55</f>
        <v>15123.8826666667</v>
      </c>
      <c r="AL56" s="14" t="n">
        <f aca="false">AL48+AL49+AL50+AL51+AL52+AL53+AL54+AL55</f>
        <v>15123.8826666667</v>
      </c>
      <c r="AM56" s="14" t="n">
        <f aca="false">AM48+AM49+AM50+AM51+AM52+AM53+AM54+AM55</f>
        <v>16938.7485866667</v>
      </c>
      <c r="AN56" s="14" t="n">
        <f aca="false">AN48+AN49+AN50+AN51+AN52+AN53+AN54+AN55</f>
        <v>27475.7085866667</v>
      </c>
      <c r="AO56" s="14" t="n">
        <f aca="false">AO48+AO49+AO50+AO51+AO52+AO53+AO54+AO55</f>
        <v>16938.7485866667</v>
      </c>
      <c r="AP56" s="14" t="n">
        <f aca="false">AP48+AP49+AP50+AP51+AP52+AP53+AP54+AP55</f>
        <v>16938.7485866667</v>
      </c>
      <c r="AQ56" s="14" t="n">
        <f aca="false">AQ48+AQ49+AQ50+AQ51+AQ52+AQ53+AQ54+AQ55</f>
        <v>16938.7485866667</v>
      </c>
      <c r="AR56" s="14" t="n">
        <f aca="false">AR48+AR49+AR50+AR51+AR52+AR53+AR54+AR55</f>
        <v>16938.7485866667</v>
      </c>
      <c r="AS56" s="14" t="n">
        <f aca="false">AS48+AS49+AS50+AS51+AS52+AS53+AS54+AS55</f>
        <v>16938.7485866667</v>
      </c>
      <c r="AT56" s="14" t="n">
        <f aca="false">AT48+AT49+AT50+AT51+AT52+AT53+AT54+AT55</f>
        <v>25368.3165866667</v>
      </c>
      <c r="AU56" s="14" t="n">
        <f aca="false">AU48+AU49+AU50+AU51+AU52+AU53+AU54+AU55</f>
        <v>16938.7485866667</v>
      </c>
      <c r="AV56" s="14" t="n">
        <f aca="false">AV48+AV49+AV50+AV51+AV52+AV53+AV54+AV55</f>
        <v>16938.7485866667</v>
      </c>
      <c r="AW56" s="14" t="n">
        <f aca="false">AW48+AW49+AW50+AW51+AW52+AW53+AW54+AW55</f>
        <v>16938.7485866667</v>
      </c>
      <c r="AX56" s="14" t="n">
        <f aca="false">AX48+AX49+AX50+AX51+AX52+AX53+AX54+AX55</f>
        <v>16938.7485866667</v>
      </c>
      <c r="AY56" s="14" t="n">
        <f aca="false">AY48+AY49+AY50+AY51+AY52+AY53+AY54+AY55</f>
        <v>18971.3984170667</v>
      </c>
      <c r="AZ56" s="14" t="n">
        <f aca="false">AZ48+AZ49+AZ50+AZ51+AZ52+AZ53+AZ54+AZ55</f>
        <v>30772.7936170667</v>
      </c>
      <c r="BA56" s="14" t="n">
        <f aca="false">BA48+BA49+BA50+BA51+BA52+BA53+BA54+BA55</f>
        <v>18971.3984170667</v>
      </c>
      <c r="BB56" s="14" t="n">
        <f aca="false">BB48+BB49+BB50+BB51+BB52+BB53+BB54+BB55</f>
        <v>18971.3984170667</v>
      </c>
      <c r="BC56" s="14" t="n">
        <f aca="false">BC48+BC49+BC50+BC51+BC52+BC53+BC54+BC55</f>
        <v>18971.3984170667</v>
      </c>
      <c r="BD56" s="14" t="n">
        <f aca="false">BD48+BD49+BD50+BD51+BD52+BD53+BD54+BD55</f>
        <v>18971.3984170667</v>
      </c>
      <c r="BE56" s="14" t="n">
        <f aca="false">BE48+BE49+BE50+BE51+BE52+BE53+BE54+BE55</f>
        <v>18971.3984170667</v>
      </c>
      <c r="BF56" s="14" t="n">
        <f aca="false">BF48+BF49+BF50+BF51+BF52+BF53+BF54+BF55</f>
        <v>28412.5145770667</v>
      </c>
      <c r="BG56" s="14" t="n">
        <f aca="false">BG48+BG49+BG50+BG51+BG52+BG53+BG54+BG55</f>
        <v>18971.3984170667</v>
      </c>
      <c r="BH56" s="14" t="n">
        <f aca="false">BH48+BH49+BH50+BH51+BH52+BH53+BH54+BH55</f>
        <v>18971.3984170667</v>
      </c>
      <c r="BI56" s="14" t="n">
        <f aca="false">BI48+BI49+BI50+BI51+BI52+BI53+BI54+BI55</f>
        <v>18971.3984170667</v>
      </c>
      <c r="BJ56" s="14" t="n">
        <f aca="false">BJ48+BJ49+BJ50+BJ51+BJ52+BJ53+BJ54+BJ55</f>
        <v>18971.3984170667</v>
      </c>
    </row>
    <row r="57" customFormat="false" ht="15" hidden="false" customHeight="false" outlineLevel="0" collapsed="false">
      <c r="A57" s="9" t="s">
        <v>230</v>
      </c>
      <c r="B57" s="9"/>
      <c r="C57" s="26" t="n">
        <f aca="false">C47*Assumptions!$F$64*C8</f>
        <v>0</v>
      </c>
      <c r="D57" s="26" t="n">
        <f aca="false">D47*Assumptions!$F$64*D8</f>
        <v>0</v>
      </c>
      <c r="E57" s="26" t="n">
        <f aca="false">E47*Assumptions!$F$64*E8</f>
        <v>0</v>
      </c>
      <c r="F57" s="26" t="n">
        <f aca="false">F47*Assumptions!$F$64*F8</f>
        <v>3000</v>
      </c>
      <c r="G57" s="26" t="n">
        <f aca="false">G47*Assumptions!$F$64*G8</f>
        <v>3000</v>
      </c>
      <c r="H57" s="26" t="n">
        <f aca="false">H47*Assumptions!$F$64*H8</f>
        <v>3000</v>
      </c>
      <c r="I57" s="26" t="n">
        <f aca="false">I47*Assumptions!$F$64*I8</f>
        <v>3000</v>
      </c>
      <c r="J57" s="26" t="n">
        <f aca="false">J47*Assumptions!$F$64*J8</f>
        <v>3000</v>
      </c>
      <c r="K57" s="26" t="n">
        <f aca="false">K47*Assumptions!$F$64*K8</f>
        <v>3000</v>
      </c>
      <c r="L57" s="26" t="n">
        <f aca="false">L47*Assumptions!$F$64*L8</f>
        <v>3000</v>
      </c>
      <c r="M57" s="26" t="n">
        <f aca="false">M47*Assumptions!$F$64*M8</f>
        <v>3000</v>
      </c>
      <c r="N57" s="26" t="n">
        <f aca="false">N47*Assumptions!$F$64*N8</f>
        <v>3000</v>
      </c>
      <c r="O57" s="26" t="n">
        <f aca="false">O47*Assumptions!$F$64*O8</f>
        <v>3360</v>
      </c>
      <c r="P57" s="26" t="n">
        <f aca="false">P47*Assumptions!$F$64*P8</f>
        <v>3360</v>
      </c>
      <c r="Q57" s="26" t="n">
        <f aca="false">Q47*Assumptions!$F$64*Q8</f>
        <v>3360</v>
      </c>
      <c r="R57" s="26" t="n">
        <f aca="false">R47*Assumptions!$F$64*R8</f>
        <v>3360</v>
      </c>
      <c r="S57" s="26" t="n">
        <f aca="false">S47*Assumptions!$F$64*S8</f>
        <v>3360</v>
      </c>
      <c r="T57" s="26" t="n">
        <f aca="false">T47*Assumptions!$F$64*T8</f>
        <v>3360</v>
      </c>
      <c r="U57" s="26" t="n">
        <f aca="false">U47*Assumptions!$F$64*U8</f>
        <v>3360</v>
      </c>
      <c r="V57" s="26" t="n">
        <f aca="false">V47*Assumptions!$F$64*V8</f>
        <v>3360</v>
      </c>
      <c r="W57" s="26" t="n">
        <f aca="false">W47*Assumptions!$F$64*W8</f>
        <v>3360</v>
      </c>
      <c r="X57" s="26" t="n">
        <f aca="false">X47*Assumptions!$F$64*X8</f>
        <v>3360</v>
      </c>
      <c r="Y57" s="26" t="n">
        <f aca="false">Y47*Assumptions!$F$64*Y8</f>
        <v>3360</v>
      </c>
      <c r="Z57" s="26" t="n">
        <f aca="false">Z47*Assumptions!$F$64*Z8</f>
        <v>3360</v>
      </c>
      <c r="AA57" s="26" t="n">
        <f aca="false">AA47*Assumptions!$F$64*AA8</f>
        <v>3763.2</v>
      </c>
      <c r="AB57" s="26" t="n">
        <f aca="false">AB47*Assumptions!$F$64*AB8</f>
        <v>3763.2</v>
      </c>
      <c r="AC57" s="26" t="n">
        <f aca="false">AC47*Assumptions!$F$64*AC8</f>
        <v>3763.2</v>
      </c>
      <c r="AD57" s="26" t="n">
        <f aca="false">AD47*Assumptions!$F$64*AD8</f>
        <v>3763.2</v>
      </c>
      <c r="AE57" s="26" t="n">
        <f aca="false">AE47*Assumptions!$F$64*AE8</f>
        <v>3763.2</v>
      </c>
      <c r="AF57" s="26" t="n">
        <f aca="false">AF47*Assumptions!$F$64*AF8</f>
        <v>3763.2</v>
      </c>
      <c r="AG57" s="26" t="n">
        <f aca="false">AG47*Assumptions!$F$64*AG8</f>
        <v>3763.2</v>
      </c>
      <c r="AH57" s="26" t="n">
        <f aca="false">AH47*Assumptions!$F$64*AH8</f>
        <v>3763.2</v>
      </c>
      <c r="AI57" s="26" t="n">
        <f aca="false">AI47*Assumptions!$F$64*AI8</f>
        <v>3763.2</v>
      </c>
      <c r="AJ57" s="26" t="n">
        <f aca="false">AJ47*Assumptions!$F$64*AJ8</f>
        <v>3763.2</v>
      </c>
      <c r="AK57" s="26" t="n">
        <f aca="false">AK47*Assumptions!$F$64*AK8</f>
        <v>3763.2</v>
      </c>
      <c r="AL57" s="26" t="n">
        <f aca="false">AL47*Assumptions!$F$64*AL8</f>
        <v>3763.2</v>
      </c>
      <c r="AM57" s="26" t="n">
        <f aca="false">AM47*Assumptions!$F$64*AM8</f>
        <v>4214.784</v>
      </c>
      <c r="AN57" s="26" t="n">
        <f aca="false">AN47*Assumptions!$F$64*AN8</f>
        <v>4214.784</v>
      </c>
      <c r="AO57" s="26" t="n">
        <f aca="false">AO47*Assumptions!$F$64*AO8</f>
        <v>4214.784</v>
      </c>
      <c r="AP57" s="26" t="n">
        <f aca="false">AP47*Assumptions!$F$64*AP8</f>
        <v>4214.784</v>
      </c>
      <c r="AQ57" s="26" t="n">
        <f aca="false">AQ47*Assumptions!$F$64*AQ8</f>
        <v>4214.784</v>
      </c>
      <c r="AR57" s="26" t="n">
        <f aca="false">AR47*Assumptions!$F$64*AR8</f>
        <v>4214.784</v>
      </c>
      <c r="AS57" s="26" t="n">
        <f aca="false">AS47*Assumptions!$F$64*AS8</f>
        <v>4214.784</v>
      </c>
      <c r="AT57" s="26" t="n">
        <f aca="false">AT47*Assumptions!$F$64*AT8</f>
        <v>4214.784</v>
      </c>
      <c r="AU57" s="26" t="n">
        <f aca="false">AU47*Assumptions!$F$64*AU8</f>
        <v>4214.784</v>
      </c>
      <c r="AV57" s="26" t="n">
        <f aca="false">AV47*Assumptions!$F$64*AV8</f>
        <v>4214.784</v>
      </c>
      <c r="AW57" s="26" t="n">
        <f aca="false">AW47*Assumptions!$F$64*AW8</f>
        <v>4214.784</v>
      </c>
      <c r="AX57" s="26" t="n">
        <f aca="false">AX47*Assumptions!$F$64*AX8</f>
        <v>4214.784</v>
      </c>
      <c r="AY57" s="26" t="n">
        <f aca="false">AY47*Assumptions!$F$64*AY8</f>
        <v>4720.55808</v>
      </c>
      <c r="AZ57" s="26" t="n">
        <f aca="false">AZ47*Assumptions!$F$64*AZ8</f>
        <v>4720.55808</v>
      </c>
      <c r="BA57" s="26" t="n">
        <f aca="false">BA47*Assumptions!$F$64*BA8</f>
        <v>4720.55808</v>
      </c>
      <c r="BB57" s="26" t="n">
        <f aca="false">BB47*Assumptions!$F$64*BB8</f>
        <v>4720.55808</v>
      </c>
      <c r="BC57" s="26" t="n">
        <f aca="false">BC47*Assumptions!$F$64*BC8</f>
        <v>4720.55808</v>
      </c>
      <c r="BD57" s="26" t="n">
        <f aca="false">BD47*Assumptions!$F$64*BD8</f>
        <v>4720.55808</v>
      </c>
      <c r="BE57" s="26" t="n">
        <f aca="false">BE47*Assumptions!$F$64*BE8</f>
        <v>4720.55808</v>
      </c>
      <c r="BF57" s="26" t="n">
        <f aca="false">BF47*Assumptions!$F$64*BF8</f>
        <v>4720.55808</v>
      </c>
      <c r="BG57" s="26" t="n">
        <f aca="false">BG47*Assumptions!$F$64*BG8</f>
        <v>4720.55808</v>
      </c>
      <c r="BH57" s="26" t="n">
        <f aca="false">BH47*Assumptions!$F$64*BH8</f>
        <v>4720.55808</v>
      </c>
      <c r="BI57" s="26" t="n">
        <f aca="false">BI47*Assumptions!$F$64*BI8</f>
        <v>4720.55808</v>
      </c>
      <c r="BJ57" s="26" t="n">
        <f aca="false">BJ47*Assumptions!$F$64*BJ8</f>
        <v>4720.55808</v>
      </c>
    </row>
    <row r="58" customFormat="false" ht="15" hidden="false" customHeight="false" outlineLevel="0" collapsed="false">
      <c r="A58" s="3" t="s">
        <v>231</v>
      </c>
      <c r="B58" s="9"/>
      <c r="C58" s="14" t="n">
        <f aca="false">C31-C41+C45-C56</f>
        <v>0</v>
      </c>
      <c r="D58" s="14" t="n">
        <f aca="false">D31-D41+D45-D56</f>
        <v>-2000</v>
      </c>
      <c r="E58" s="14" t="n">
        <f aca="false">E31-E41+E45-E56</f>
        <v>0</v>
      </c>
      <c r="F58" s="14" t="n">
        <f aca="false">F31-F41+F45-F56</f>
        <v>-7750</v>
      </c>
      <c r="G58" s="14" t="n">
        <f aca="false">G31-G41+G45-G56</f>
        <v>-21296.6666666667</v>
      </c>
      <c r="H58" s="14" t="n">
        <f aca="false">H31-H41+H45-H56</f>
        <v>-10496.6666666667</v>
      </c>
      <c r="I58" s="14" t="n">
        <f aca="false">I31-I41+I45-I56</f>
        <v>-10230</v>
      </c>
      <c r="J58" s="14" t="n">
        <f aca="false">J31-J41+J45-J56</f>
        <v>-9340</v>
      </c>
      <c r="K58" s="14" t="n">
        <f aca="false">K31-K41+K45-K56</f>
        <v>-3340</v>
      </c>
      <c r="L58" s="14" t="n">
        <f aca="false">L31-L41+L45-L56</f>
        <v>-3340</v>
      </c>
      <c r="M58" s="14" t="n">
        <f aca="false">M31-M41+M45-M56</f>
        <v>-4619.44444444445</v>
      </c>
      <c r="N58" s="14" t="n">
        <f aca="false">N31-N41+N45-N56</f>
        <v>-5346.66666666667</v>
      </c>
      <c r="O58" s="14" t="n">
        <f aca="false">O31-O41+O45-O56</f>
        <v>-2461.35555555556</v>
      </c>
      <c r="P58" s="14" t="n">
        <f aca="false">P31-P41+P45-P56</f>
        <v>-7730.8</v>
      </c>
      <c r="Q58" s="14" t="n">
        <f aca="false">Q31-Q41+Q45-Q56</f>
        <v>2094.55555555556</v>
      </c>
      <c r="R58" s="14" t="n">
        <f aca="false">R31-R41+R45-R56</f>
        <v>3042.32444444445</v>
      </c>
      <c r="S58" s="14" t="n">
        <f aca="false">S31-S41+S45-S56</f>
        <v>-4347.84</v>
      </c>
      <c r="T58" s="14" t="n">
        <f aca="false">T31-T41+T45-T56</f>
        <v>-4347.84</v>
      </c>
      <c r="U58" s="14" t="n">
        <f aca="false">U31-U41+U45-U56</f>
        <v>-4347.84</v>
      </c>
      <c r="V58" s="14" t="n">
        <f aca="false">V31-V41+V45-V56</f>
        <v>-3351.04</v>
      </c>
      <c r="W58" s="14" t="n">
        <f aca="false">W31-W41+W45-W56</f>
        <v>3368.96</v>
      </c>
      <c r="X58" s="14" t="n">
        <f aca="false">X31-X41+X45-X56</f>
        <v>2028.75555555556</v>
      </c>
      <c r="Y58" s="14" t="n">
        <f aca="false">Y31-Y41+Y45-Y56</f>
        <v>-3606.24444444445</v>
      </c>
      <c r="Z58" s="14" t="n">
        <f aca="false">Z31-Z41+Z45-Z56</f>
        <v>-5031.6</v>
      </c>
      <c r="AA58" s="14" t="n">
        <f aca="false">AA31-AA41+AA45-AA56</f>
        <v>-838.697066666666</v>
      </c>
      <c r="AB58" s="14" t="n">
        <f aca="false">AB31-AB41+AB45-AB56</f>
        <v>-9416.36266666667</v>
      </c>
      <c r="AC58" s="14" t="n">
        <f aca="false">AC31-AC41+AC45-AC56</f>
        <v>2272.20622222222</v>
      </c>
      <c r="AD58" s="14" t="n">
        <f aca="false">AD31-AD41+AD45-AD56</f>
        <v>4552.77511111111</v>
      </c>
      <c r="AE58" s="14" t="n">
        <f aca="false">AE31-AE41+AE45-AE56</f>
        <v>13675.0506666667</v>
      </c>
      <c r="AF58" s="14" t="n">
        <f aca="false">AF31-AF41+AF45-AF56</f>
        <v>20516.7573333333</v>
      </c>
      <c r="AG58" s="14" t="n">
        <f aca="false">AG31-AG41+AG45-AG56</f>
        <v>22797.3262222222</v>
      </c>
      <c r="AH58" s="14" t="n">
        <f aca="false">AH31-AH41+AH45-AH56</f>
        <v>6235.72693333335</v>
      </c>
      <c r="AI58" s="14" t="n">
        <f aca="false">AI31-AI41+AI45-AI56</f>
        <v>8301.20106666667</v>
      </c>
      <c r="AJ58" s="14" t="n">
        <f aca="false">AJ31-AJ41+AJ45-AJ56</f>
        <v>8301.20106666667</v>
      </c>
      <c r="AK58" s="14" t="n">
        <f aca="false">AK31-AK41+AK45-AK56</f>
        <v>2272.20622222222</v>
      </c>
      <c r="AL58" s="14" t="n">
        <f aca="false">AL31-AL41+AL45-AL56</f>
        <v>-8.36266666666961</v>
      </c>
      <c r="AM58" s="14" t="n">
        <f aca="false">AM31-AM41+AM45-AM56</f>
        <v>699.127295999999</v>
      </c>
      <c r="AN58" s="14" t="n">
        <f aca="false">AN31-AN41+AN45-AN56</f>
        <v>-10546.3261866667</v>
      </c>
      <c r="AO58" s="14" t="n">
        <f aca="false">AO31-AO41+AO45-AO56</f>
        <v>2544.87096888889</v>
      </c>
      <c r="AP58" s="14" t="n">
        <f aca="false">AP31-AP41+AP45-AP56</f>
        <v>5099.10812444445</v>
      </c>
      <c r="AQ58" s="14" t="n">
        <f aca="false">AQ31-AQ41+AQ45-AQ56</f>
        <v>15316.0567466667</v>
      </c>
      <c r="AR58" s="14" t="n">
        <f aca="false">AR31-AR41+AR45-AR56</f>
        <v>22978.7682133333</v>
      </c>
      <c r="AS58" s="14" t="n">
        <f aca="false">AS31-AS41+AS45-AS56</f>
        <v>25533.0053688889</v>
      </c>
      <c r="AT58" s="14" t="n">
        <f aca="false">AT31-AT41+AT45-AT56</f>
        <v>10555.3021155556</v>
      </c>
      <c r="AU58" s="14" t="n">
        <f aca="false">AU31-AU41+AU45-AU56</f>
        <v>9297.34519466667</v>
      </c>
      <c r="AV58" s="14" t="n">
        <f aca="false">AV31-AV41+AV45-AV56</f>
        <v>9297.34519466667</v>
      </c>
      <c r="AW58" s="14" t="n">
        <f aca="false">AW31-AW41+AW45-AW56</f>
        <v>2544.87096888889</v>
      </c>
      <c r="AX58" s="14" t="n">
        <f aca="false">AX31-AX41+AX45-AX56</f>
        <v>-9.36618666666618</v>
      </c>
      <c r="AY58" s="14" t="n">
        <f aca="false">AY31-AY41+AY45-AY56</f>
        <v>783.022571520003</v>
      </c>
      <c r="AZ58" s="14" t="n">
        <f aca="false">AZ31-AZ41+AZ45-AZ56</f>
        <v>-11811.8853290667</v>
      </c>
      <c r="BA58" s="14" t="n">
        <f aca="false">BA31-BA41+BA45-BA56</f>
        <v>2850.25548515555</v>
      </c>
      <c r="BB58" s="14" t="n">
        <f aca="false">BB31-BB41+BB45-BB56</f>
        <v>5711.00109937778</v>
      </c>
      <c r="BC58" s="14" t="n">
        <f aca="false">BC31-BC41+BC45-BC56</f>
        <v>17153.9835562667</v>
      </c>
      <c r="BD58" s="14" t="n">
        <f aca="false">BD31-BD41+BD45-BD56</f>
        <v>25736.2203989334</v>
      </c>
      <c r="BE58" s="14" t="n">
        <f aca="false">BE31-BE41+BE45-BE56</f>
        <v>28596.9660131556</v>
      </c>
      <c r="BF58" s="14" t="n">
        <f aca="false">BF31-BF41+BF45-BF56</f>
        <v>11821.9383694222</v>
      </c>
      <c r="BG58" s="14" t="n">
        <f aca="false">BG31-BG41+BG45-BG56</f>
        <v>10413.0266180267</v>
      </c>
      <c r="BH58" s="14" t="n">
        <f aca="false">BH31-BH41+BH45-BH56</f>
        <v>10413.0266180267</v>
      </c>
      <c r="BI58" s="14" t="n">
        <f aca="false">BI31-BI41+BI45-BI56</f>
        <v>2850.25548515555</v>
      </c>
      <c r="BJ58" s="14" t="n">
        <f aca="false">BJ31-BJ41+BJ45-BJ56</f>
        <v>-10.4901290666639</v>
      </c>
    </row>
    <row r="59" customFormat="false" ht="15" hidden="false" customHeight="false" outlineLevel="0" collapsed="false">
      <c r="A59" s="7" t="s">
        <v>232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customFormat="false" ht="15" hidden="false" customHeight="false" outlineLevel="0" collapsed="false">
      <c r="A60" s="9" t="s">
        <v>233</v>
      </c>
      <c r="B60" s="9"/>
      <c r="C60" s="26" t="n">
        <f aca="false">IF(C$3=Assumptions!$F$7,Assumptions!$F$76+Assumptions!$F$77,0)+IF(AND(Assumptions!$F$9=1,C$3=Assumptions!$F$10-1),(Assumptions!$F$78+Assumptions!$F$79)*C8,0)</f>
        <v>0</v>
      </c>
      <c r="D60" s="26" t="n">
        <f aca="false">IF(D$3=Assumptions!$F$7,Assumptions!$F$76+Assumptions!$F$77,0)+IF(AND(Assumptions!$F$9=1,D$3=Assumptions!$F$10-1),(Assumptions!$F$78+Assumptions!$F$79)*D8,0)</f>
        <v>0</v>
      </c>
      <c r="E60" s="26" t="n">
        <f aca="false">IF(E$3=Assumptions!$F$7,Assumptions!$F$76+Assumptions!$F$77,0)+IF(AND(Assumptions!$F$9=1,E$3=Assumptions!$F$10-1),(Assumptions!$F$78+Assumptions!$F$79)*E8,0)</f>
        <v>0</v>
      </c>
      <c r="F60" s="26" t="n">
        <f aca="false">IF(F$3=Assumptions!$F$7,Assumptions!$F$76+Assumptions!$F$77,0)+IF(AND(Assumptions!$F$9=1,F$3=Assumptions!$F$10-1),(Assumptions!$F$78+Assumptions!$F$79)*F8,0)</f>
        <v>128000</v>
      </c>
      <c r="G60" s="26" t="n">
        <f aca="false">IF(G$3=Assumptions!$F$7,Assumptions!$F$76+Assumptions!$F$77,0)+IF(AND(Assumptions!$F$9=1,G$3=Assumptions!$F$10-1),(Assumptions!$F$78+Assumptions!$F$79)*G8,0)</f>
        <v>0</v>
      </c>
      <c r="H60" s="26" t="n">
        <f aca="false">IF(H$3=Assumptions!$F$7,Assumptions!$F$76+Assumptions!$F$77,0)+IF(AND(Assumptions!$F$9=1,H$3=Assumptions!$F$10-1),(Assumptions!$F$78+Assumptions!$F$79)*H8,0)</f>
        <v>0</v>
      </c>
      <c r="I60" s="26" t="n">
        <f aca="false">IF(I$3=Assumptions!$F$7,Assumptions!$F$76+Assumptions!$F$77,0)+IF(AND(Assumptions!$F$9=1,I$3=Assumptions!$F$10-1),(Assumptions!$F$78+Assumptions!$F$79)*I8,0)</f>
        <v>0</v>
      </c>
      <c r="J60" s="26" t="n">
        <f aca="false">IF(J$3=Assumptions!$F$7,Assumptions!$F$76+Assumptions!$F$77,0)+IF(AND(Assumptions!$F$9=1,J$3=Assumptions!$F$10-1),(Assumptions!$F$78+Assumptions!$F$79)*J8,0)</f>
        <v>0</v>
      </c>
      <c r="K60" s="26" t="n">
        <f aca="false">IF(K$3=Assumptions!$F$7,Assumptions!$F$76+Assumptions!$F$77,0)+IF(AND(Assumptions!$F$9=1,K$3=Assumptions!$F$10-1),(Assumptions!$F$78+Assumptions!$F$79)*K8,0)</f>
        <v>0</v>
      </c>
      <c r="L60" s="26" t="n">
        <f aca="false">IF(L$3=Assumptions!$F$7,Assumptions!$F$76+Assumptions!$F$77,0)+IF(AND(Assumptions!$F$9=1,L$3=Assumptions!$F$10-1),(Assumptions!$F$78+Assumptions!$F$79)*L8,0)</f>
        <v>0</v>
      </c>
      <c r="M60" s="26" t="n">
        <f aca="false">IF(M$3=Assumptions!$F$7,Assumptions!$F$76+Assumptions!$F$77,0)+IF(AND(Assumptions!$F$9=1,M$3=Assumptions!$F$10-1),(Assumptions!$F$78+Assumptions!$F$79)*M8,0)</f>
        <v>0</v>
      </c>
      <c r="N60" s="26" t="n">
        <f aca="false">IF(N$3=Assumptions!$F$7,Assumptions!$F$76+Assumptions!$F$77,0)+IF(AND(Assumptions!$F$9=1,N$3=Assumptions!$F$10-1),(Assumptions!$F$78+Assumptions!$F$79)*N8,0)</f>
        <v>0</v>
      </c>
      <c r="O60" s="26" t="n">
        <f aca="false">IF(O$3=Assumptions!$F$7,Assumptions!$F$76+Assumptions!$F$77,0)+IF(AND(Assumptions!$F$9=1,O$3=Assumptions!$F$10-1),(Assumptions!$F$78+Assumptions!$F$79)*O8,0)</f>
        <v>0</v>
      </c>
      <c r="P60" s="26" t="n">
        <f aca="false">IF(P$3=Assumptions!$F$7,Assumptions!$F$76+Assumptions!$F$77,0)+IF(AND(Assumptions!$F$9=1,P$3=Assumptions!$F$10-1),(Assumptions!$F$78+Assumptions!$F$79)*P8,0)</f>
        <v>0</v>
      </c>
      <c r="Q60" s="26" t="n">
        <f aca="false">IF(Q$3=Assumptions!$F$7,Assumptions!$F$76+Assumptions!$F$77,0)+IF(AND(Assumptions!$F$9=1,Q$3=Assumptions!$F$10-1),(Assumptions!$F$78+Assumptions!$F$79)*Q8,0)</f>
        <v>0</v>
      </c>
      <c r="R60" s="26" t="n">
        <f aca="false">IF(R$3=Assumptions!$F$7,Assumptions!$F$76+Assumptions!$F$77,0)+IF(AND(Assumptions!$F$9=1,R$3=Assumptions!$F$10-1),(Assumptions!$F$78+Assumptions!$F$79)*R8,0)</f>
        <v>95200</v>
      </c>
      <c r="S60" s="26" t="n">
        <f aca="false">IF(S$3=Assumptions!$F$7,Assumptions!$F$76+Assumptions!$F$77,0)+IF(AND(Assumptions!$F$9=1,S$3=Assumptions!$F$10-1),(Assumptions!$F$78+Assumptions!$F$79)*S8,0)</f>
        <v>0</v>
      </c>
      <c r="T60" s="26" t="n">
        <f aca="false">IF(T$3=Assumptions!$F$7,Assumptions!$F$76+Assumptions!$F$77,0)+IF(AND(Assumptions!$F$9=1,T$3=Assumptions!$F$10-1),(Assumptions!$F$78+Assumptions!$F$79)*T8,0)</f>
        <v>0</v>
      </c>
      <c r="U60" s="26" t="n">
        <f aca="false">IF(U$3=Assumptions!$F$7,Assumptions!$F$76+Assumptions!$F$77,0)+IF(AND(Assumptions!$F$9=1,U$3=Assumptions!$F$10-1),(Assumptions!$F$78+Assumptions!$F$79)*U8,0)</f>
        <v>0</v>
      </c>
      <c r="V60" s="26" t="n">
        <f aca="false">IF(V$3=Assumptions!$F$7,Assumptions!$F$76+Assumptions!$F$77,0)+IF(AND(Assumptions!$F$9=1,V$3=Assumptions!$F$10-1),(Assumptions!$F$78+Assumptions!$F$79)*V8,0)</f>
        <v>0</v>
      </c>
      <c r="W60" s="26" t="n">
        <f aca="false">IF(W$3=Assumptions!$F$7,Assumptions!$F$76+Assumptions!$F$77,0)+IF(AND(Assumptions!$F$9=1,W$3=Assumptions!$F$10-1),(Assumptions!$F$78+Assumptions!$F$79)*W8,0)</f>
        <v>0</v>
      </c>
      <c r="X60" s="26" t="n">
        <f aca="false">IF(X$3=Assumptions!$F$7,Assumptions!$F$76+Assumptions!$F$77,0)+IF(AND(Assumptions!$F$9=1,X$3=Assumptions!$F$10-1),(Assumptions!$F$78+Assumptions!$F$79)*X8,0)</f>
        <v>0</v>
      </c>
      <c r="Y60" s="26" t="n">
        <f aca="false">IF(Y$3=Assumptions!$F$7,Assumptions!$F$76+Assumptions!$F$77,0)+IF(AND(Assumptions!$F$9=1,Y$3=Assumptions!$F$10-1),(Assumptions!$F$78+Assumptions!$F$79)*Y8,0)</f>
        <v>0</v>
      </c>
      <c r="Z60" s="26" t="n">
        <f aca="false">IF(Z$3=Assumptions!$F$7,Assumptions!$F$76+Assumptions!$F$77,0)+IF(AND(Assumptions!$F$9=1,Z$3=Assumptions!$F$10-1),(Assumptions!$F$78+Assumptions!$F$79)*Z8,0)</f>
        <v>0</v>
      </c>
      <c r="AA60" s="26" t="n">
        <f aca="false">IF(AA$3=Assumptions!$F$7,Assumptions!$F$76+Assumptions!$F$77,0)+IF(AND(Assumptions!$F$9=1,AA$3=Assumptions!$F$10-1),(Assumptions!$F$78+Assumptions!$F$79)*AA8,0)</f>
        <v>0</v>
      </c>
      <c r="AB60" s="26" t="n">
        <f aca="false">IF(AB$3=Assumptions!$F$7,Assumptions!$F$76+Assumptions!$F$77,0)+IF(AND(Assumptions!$F$9=1,AB$3=Assumptions!$F$10-1),(Assumptions!$F$78+Assumptions!$F$79)*AB8,0)</f>
        <v>0</v>
      </c>
      <c r="AC60" s="26" t="n">
        <f aca="false">IF(AC$3=Assumptions!$F$7,Assumptions!$F$76+Assumptions!$F$77,0)+IF(AND(Assumptions!$F$9=1,AC$3=Assumptions!$F$10-1),(Assumptions!$F$78+Assumptions!$F$79)*AC8,0)</f>
        <v>0</v>
      </c>
      <c r="AD60" s="26" t="n">
        <f aca="false">IF(AD$3=Assumptions!$F$7,Assumptions!$F$76+Assumptions!$F$77,0)+IF(AND(Assumptions!$F$9=1,AD$3=Assumptions!$F$10-1),(Assumptions!$F$78+Assumptions!$F$79)*AD8,0)</f>
        <v>0</v>
      </c>
      <c r="AE60" s="26" t="n">
        <f aca="false">IF(AE$3=Assumptions!$F$7,Assumptions!$F$76+Assumptions!$F$77,0)+IF(AND(Assumptions!$F$9=1,AE$3=Assumptions!$F$10-1),(Assumptions!$F$78+Assumptions!$F$79)*AE8,0)</f>
        <v>0</v>
      </c>
      <c r="AF60" s="26" t="n">
        <f aca="false">IF(AF$3=Assumptions!$F$7,Assumptions!$F$76+Assumptions!$F$77,0)+IF(AND(Assumptions!$F$9=1,AF$3=Assumptions!$F$10-1),(Assumptions!$F$78+Assumptions!$F$79)*AF8,0)</f>
        <v>0</v>
      </c>
      <c r="AG60" s="26" t="n">
        <f aca="false">IF(AG$3=Assumptions!$F$7,Assumptions!$F$76+Assumptions!$F$77,0)+IF(AND(Assumptions!$F$9=1,AG$3=Assumptions!$F$10-1),(Assumptions!$F$78+Assumptions!$F$79)*AG8,0)</f>
        <v>0</v>
      </c>
      <c r="AH60" s="26" t="n">
        <f aca="false">IF(AH$3=Assumptions!$F$7,Assumptions!$F$76+Assumptions!$F$77,0)+IF(AND(Assumptions!$F$9=1,AH$3=Assumptions!$F$10-1),(Assumptions!$F$78+Assumptions!$F$79)*AH8,0)</f>
        <v>0</v>
      </c>
      <c r="AI60" s="26" t="n">
        <f aca="false">IF(AI$3=Assumptions!$F$7,Assumptions!$F$76+Assumptions!$F$77,0)+IF(AND(Assumptions!$F$9=1,AI$3=Assumptions!$F$10-1),(Assumptions!$F$78+Assumptions!$F$79)*AI8,0)</f>
        <v>0</v>
      </c>
      <c r="AJ60" s="26" t="n">
        <f aca="false">IF(AJ$3=Assumptions!$F$7,Assumptions!$F$76+Assumptions!$F$77,0)+IF(AND(Assumptions!$F$9=1,AJ$3=Assumptions!$F$10-1),(Assumptions!$F$78+Assumptions!$F$79)*AJ8,0)</f>
        <v>0</v>
      </c>
      <c r="AK60" s="26" t="n">
        <f aca="false">IF(AK$3=Assumptions!$F$7,Assumptions!$F$76+Assumptions!$F$77,0)+IF(AND(Assumptions!$F$9=1,AK$3=Assumptions!$F$10-1),(Assumptions!$F$78+Assumptions!$F$79)*AK8,0)</f>
        <v>0</v>
      </c>
      <c r="AL60" s="26" t="n">
        <f aca="false">IF(AL$3=Assumptions!$F$7,Assumptions!$F$76+Assumptions!$F$77,0)+IF(AND(Assumptions!$F$9=1,AL$3=Assumptions!$F$10-1),(Assumptions!$F$78+Assumptions!$F$79)*AL8,0)</f>
        <v>0</v>
      </c>
      <c r="AM60" s="26" t="n">
        <f aca="false">IF(AM$3=Assumptions!$F$7,Assumptions!$F$76+Assumptions!$F$77,0)+IF(AND(Assumptions!$F$9=1,AM$3=Assumptions!$F$10-1),(Assumptions!$F$78+Assumptions!$F$79)*AM8,0)</f>
        <v>0</v>
      </c>
      <c r="AN60" s="26" t="n">
        <f aca="false">IF(AN$3=Assumptions!$F$7,Assumptions!$F$76+Assumptions!$F$77,0)+IF(AND(Assumptions!$F$9=1,AN$3=Assumptions!$F$10-1),(Assumptions!$F$78+Assumptions!$F$79)*AN8,0)</f>
        <v>0</v>
      </c>
      <c r="AO60" s="26" t="n">
        <f aca="false">IF(AO$3=Assumptions!$F$7,Assumptions!$F$76+Assumptions!$F$77,0)+IF(AND(Assumptions!$F$9=1,AO$3=Assumptions!$F$10-1),(Assumptions!$F$78+Assumptions!$F$79)*AO8,0)</f>
        <v>0</v>
      </c>
      <c r="AP60" s="26" t="n">
        <f aca="false">IF(AP$3=Assumptions!$F$7,Assumptions!$F$76+Assumptions!$F$77,0)+IF(AND(Assumptions!$F$9=1,AP$3=Assumptions!$F$10-1),(Assumptions!$F$78+Assumptions!$F$79)*AP8,0)</f>
        <v>0</v>
      </c>
      <c r="AQ60" s="26" t="n">
        <f aca="false">IF(AQ$3=Assumptions!$F$7,Assumptions!$F$76+Assumptions!$F$77,0)+IF(AND(Assumptions!$F$9=1,AQ$3=Assumptions!$F$10-1),(Assumptions!$F$78+Assumptions!$F$79)*AQ8,0)</f>
        <v>0</v>
      </c>
      <c r="AR60" s="26" t="n">
        <f aca="false">IF(AR$3=Assumptions!$F$7,Assumptions!$F$76+Assumptions!$F$77,0)+IF(AND(Assumptions!$F$9=1,AR$3=Assumptions!$F$10-1),(Assumptions!$F$78+Assumptions!$F$79)*AR8,0)</f>
        <v>0</v>
      </c>
      <c r="AS60" s="26" t="n">
        <f aca="false">IF(AS$3=Assumptions!$F$7,Assumptions!$F$76+Assumptions!$F$77,0)+IF(AND(Assumptions!$F$9=1,AS$3=Assumptions!$F$10-1),(Assumptions!$F$78+Assumptions!$F$79)*AS8,0)</f>
        <v>0</v>
      </c>
      <c r="AT60" s="26" t="n">
        <f aca="false">IF(AT$3=Assumptions!$F$7,Assumptions!$F$76+Assumptions!$F$77,0)+IF(AND(Assumptions!$F$9=1,AT$3=Assumptions!$F$10-1),(Assumptions!$F$78+Assumptions!$F$79)*AT8,0)</f>
        <v>0</v>
      </c>
      <c r="AU60" s="26" t="n">
        <f aca="false">IF(AU$3=Assumptions!$F$7,Assumptions!$F$76+Assumptions!$F$77,0)+IF(AND(Assumptions!$F$9=1,AU$3=Assumptions!$F$10-1),(Assumptions!$F$78+Assumptions!$F$79)*AU8,0)</f>
        <v>0</v>
      </c>
      <c r="AV60" s="26" t="n">
        <f aca="false">IF(AV$3=Assumptions!$F$7,Assumptions!$F$76+Assumptions!$F$77,0)+IF(AND(Assumptions!$F$9=1,AV$3=Assumptions!$F$10-1),(Assumptions!$F$78+Assumptions!$F$79)*AV8,0)</f>
        <v>0</v>
      </c>
      <c r="AW60" s="26" t="n">
        <f aca="false">IF(AW$3=Assumptions!$F$7,Assumptions!$F$76+Assumptions!$F$77,0)+IF(AND(Assumptions!$F$9=1,AW$3=Assumptions!$F$10-1),(Assumptions!$F$78+Assumptions!$F$79)*AW8,0)</f>
        <v>0</v>
      </c>
      <c r="AX60" s="26" t="n">
        <f aca="false">IF(AX$3=Assumptions!$F$7,Assumptions!$F$76+Assumptions!$F$77,0)+IF(AND(Assumptions!$F$9=1,AX$3=Assumptions!$F$10-1),(Assumptions!$F$78+Assumptions!$F$79)*AX8,0)</f>
        <v>0</v>
      </c>
      <c r="AY60" s="26" t="n">
        <f aca="false">IF(AY$3=Assumptions!$F$7,Assumptions!$F$76+Assumptions!$F$77,0)+IF(AND(Assumptions!$F$9=1,AY$3=Assumptions!$F$10-1),(Assumptions!$F$78+Assumptions!$F$79)*AY8,0)</f>
        <v>0</v>
      </c>
      <c r="AZ60" s="26" t="n">
        <f aca="false">IF(AZ$3=Assumptions!$F$7,Assumptions!$F$76+Assumptions!$F$77,0)+IF(AND(Assumptions!$F$9=1,AZ$3=Assumptions!$F$10-1),(Assumptions!$F$78+Assumptions!$F$79)*AZ8,0)</f>
        <v>0</v>
      </c>
      <c r="BA60" s="26" t="n">
        <f aca="false">IF(BA$3=Assumptions!$F$7,Assumptions!$F$76+Assumptions!$F$77,0)+IF(AND(Assumptions!$F$9=1,BA$3=Assumptions!$F$10-1),(Assumptions!$F$78+Assumptions!$F$79)*BA8,0)</f>
        <v>0</v>
      </c>
      <c r="BB60" s="26" t="n">
        <f aca="false">IF(BB$3=Assumptions!$F$7,Assumptions!$F$76+Assumptions!$F$77,0)+IF(AND(Assumptions!$F$9=1,BB$3=Assumptions!$F$10-1),(Assumptions!$F$78+Assumptions!$F$79)*BB8,0)</f>
        <v>0</v>
      </c>
      <c r="BC60" s="26" t="n">
        <f aca="false">IF(BC$3=Assumptions!$F$7,Assumptions!$F$76+Assumptions!$F$77,0)+IF(AND(Assumptions!$F$9=1,BC$3=Assumptions!$F$10-1),(Assumptions!$F$78+Assumptions!$F$79)*BC8,0)</f>
        <v>0</v>
      </c>
      <c r="BD60" s="26" t="n">
        <f aca="false">IF(BD$3=Assumptions!$F$7,Assumptions!$F$76+Assumptions!$F$77,0)+IF(AND(Assumptions!$F$9=1,BD$3=Assumptions!$F$10-1),(Assumptions!$F$78+Assumptions!$F$79)*BD8,0)</f>
        <v>0</v>
      </c>
      <c r="BE60" s="26" t="n">
        <f aca="false">IF(BE$3=Assumptions!$F$7,Assumptions!$F$76+Assumptions!$F$77,0)+IF(AND(Assumptions!$F$9=1,BE$3=Assumptions!$F$10-1),(Assumptions!$F$78+Assumptions!$F$79)*BE8,0)</f>
        <v>0</v>
      </c>
      <c r="BF60" s="26" t="n">
        <f aca="false">IF(BF$3=Assumptions!$F$7,Assumptions!$F$76+Assumptions!$F$77,0)+IF(AND(Assumptions!$F$9=1,BF$3=Assumptions!$F$10-1),(Assumptions!$F$78+Assumptions!$F$79)*BF8,0)</f>
        <v>0</v>
      </c>
      <c r="BG60" s="26" t="n">
        <f aca="false">IF(BG$3=Assumptions!$F$7,Assumptions!$F$76+Assumptions!$F$77,0)+IF(AND(Assumptions!$F$9=1,BG$3=Assumptions!$F$10-1),(Assumptions!$F$78+Assumptions!$F$79)*BG8,0)</f>
        <v>0</v>
      </c>
      <c r="BH60" s="26" t="n">
        <f aca="false">IF(BH$3=Assumptions!$F$7,Assumptions!$F$76+Assumptions!$F$77,0)+IF(AND(Assumptions!$F$9=1,BH$3=Assumptions!$F$10-1),(Assumptions!$F$78+Assumptions!$F$79)*BH8,0)</f>
        <v>0</v>
      </c>
      <c r="BI60" s="26" t="n">
        <f aca="false">IF(BI$3=Assumptions!$F$7,Assumptions!$F$76+Assumptions!$F$77,0)+IF(AND(Assumptions!$F$9=1,BI$3=Assumptions!$F$10-1),(Assumptions!$F$78+Assumptions!$F$79)*BI8,0)</f>
        <v>0</v>
      </c>
      <c r="BJ60" s="26" t="n">
        <f aca="false">IF(BJ$3=Assumptions!$F$7,Assumptions!$F$76+Assumptions!$F$77,0)+IF(AND(Assumptions!$F$9=1,BJ$3=Assumptions!$F$10-1),(Assumptions!$F$78+Assumptions!$F$79)*BJ8,0)</f>
        <v>0</v>
      </c>
    </row>
    <row r="61" customFormat="false" ht="15" hidden="false" customHeight="false" outlineLevel="0" collapsed="false">
      <c r="A61" s="9" t="s">
        <v>234</v>
      </c>
      <c r="B61" s="9"/>
      <c r="C61" s="26" t="n">
        <f aca="false">IF(C$3=Assumptions!$F$7,MIN(Assumptions!$F$80,C60),0)</f>
        <v>0</v>
      </c>
      <c r="D61" s="26" t="n">
        <f aca="false">IF(D$3=Assumptions!$F$7,MIN(Assumptions!$F$80,D60),0)</f>
        <v>0</v>
      </c>
      <c r="E61" s="26" t="n">
        <f aca="false">IF(E$3=Assumptions!$F$7,MIN(Assumptions!$F$80,E60),0)</f>
        <v>0</v>
      </c>
      <c r="F61" s="26" t="n">
        <f aca="false">IF(F$3=Assumptions!$F$7,MIN(Assumptions!$F$80,F60),0)</f>
        <v>0</v>
      </c>
      <c r="G61" s="26" t="n">
        <f aca="false">IF(G$3=Assumptions!$F$7,MIN(Assumptions!$F$80,G60),0)</f>
        <v>0</v>
      </c>
      <c r="H61" s="26" t="n">
        <f aca="false">IF(H$3=Assumptions!$F$7,MIN(Assumptions!$F$80,H60),0)</f>
        <v>0</v>
      </c>
      <c r="I61" s="26" t="n">
        <f aca="false">IF(I$3=Assumptions!$F$7,MIN(Assumptions!$F$80,I60),0)</f>
        <v>0</v>
      </c>
      <c r="J61" s="26" t="n">
        <f aca="false">IF(J$3=Assumptions!$F$7,MIN(Assumptions!$F$80,J60),0)</f>
        <v>0</v>
      </c>
      <c r="K61" s="26" t="n">
        <f aca="false">IF(K$3=Assumptions!$F$7,MIN(Assumptions!$F$80,K60),0)</f>
        <v>0</v>
      </c>
      <c r="L61" s="26" t="n">
        <f aca="false">IF(L$3=Assumptions!$F$7,MIN(Assumptions!$F$80,L60),0)</f>
        <v>0</v>
      </c>
      <c r="M61" s="26" t="n">
        <f aca="false">IF(M$3=Assumptions!$F$7,MIN(Assumptions!$F$80,M60),0)</f>
        <v>0</v>
      </c>
      <c r="N61" s="26" t="n">
        <f aca="false">IF(N$3=Assumptions!$F$7,MIN(Assumptions!$F$80,N60),0)</f>
        <v>0</v>
      </c>
      <c r="O61" s="26" t="n">
        <f aca="false">IF(O$3=Assumptions!$F$7,MIN(Assumptions!$F$80,O60),0)</f>
        <v>0</v>
      </c>
      <c r="P61" s="26" t="n">
        <f aca="false">IF(P$3=Assumptions!$F$7,MIN(Assumptions!$F$80,P60),0)</f>
        <v>0</v>
      </c>
      <c r="Q61" s="26" t="n">
        <f aca="false">IF(Q$3=Assumptions!$F$7,MIN(Assumptions!$F$80,Q60),0)</f>
        <v>0</v>
      </c>
      <c r="R61" s="26" t="n">
        <f aca="false">IF(R$3=Assumptions!$F$7,MIN(Assumptions!$F$80,R60),0)</f>
        <v>0</v>
      </c>
      <c r="S61" s="26" t="n">
        <f aca="false">IF(S$3=Assumptions!$F$7,MIN(Assumptions!$F$80,S60),0)</f>
        <v>0</v>
      </c>
      <c r="T61" s="26" t="n">
        <f aca="false">IF(T$3=Assumptions!$F$7,MIN(Assumptions!$F$80,T60),0)</f>
        <v>0</v>
      </c>
      <c r="U61" s="26" t="n">
        <f aca="false">IF(U$3=Assumptions!$F$7,MIN(Assumptions!$F$80,U60),0)</f>
        <v>0</v>
      </c>
      <c r="V61" s="26" t="n">
        <f aca="false">IF(V$3=Assumptions!$F$7,MIN(Assumptions!$F$80,V60),0)</f>
        <v>0</v>
      </c>
      <c r="W61" s="26" t="n">
        <f aca="false">IF(W$3=Assumptions!$F$7,MIN(Assumptions!$F$80,W60),0)</f>
        <v>0</v>
      </c>
      <c r="X61" s="26" t="n">
        <f aca="false">IF(X$3=Assumptions!$F$7,MIN(Assumptions!$F$80,X60),0)</f>
        <v>0</v>
      </c>
      <c r="Y61" s="26" t="n">
        <f aca="false">IF(Y$3=Assumptions!$F$7,MIN(Assumptions!$F$80,Y60),0)</f>
        <v>0</v>
      </c>
      <c r="Z61" s="26" t="n">
        <f aca="false">IF(Z$3=Assumptions!$F$7,MIN(Assumptions!$F$80,Z60),0)</f>
        <v>0</v>
      </c>
      <c r="AA61" s="26" t="n">
        <f aca="false">IF(AA$3=Assumptions!$F$7,MIN(Assumptions!$F$80,AA60),0)</f>
        <v>0</v>
      </c>
      <c r="AB61" s="26" t="n">
        <f aca="false">IF(AB$3=Assumptions!$F$7,MIN(Assumptions!$F$80,AB60),0)</f>
        <v>0</v>
      </c>
      <c r="AC61" s="26" t="n">
        <f aca="false">IF(AC$3=Assumptions!$F$7,MIN(Assumptions!$F$80,AC60),0)</f>
        <v>0</v>
      </c>
      <c r="AD61" s="26" t="n">
        <f aca="false">IF(AD$3=Assumptions!$F$7,MIN(Assumptions!$F$80,AD60),0)</f>
        <v>0</v>
      </c>
      <c r="AE61" s="26" t="n">
        <f aca="false">IF(AE$3=Assumptions!$F$7,MIN(Assumptions!$F$80,AE60),0)</f>
        <v>0</v>
      </c>
      <c r="AF61" s="26" t="n">
        <f aca="false">IF(AF$3=Assumptions!$F$7,MIN(Assumptions!$F$80,AF60),0)</f>
        <v>0</v>
      </c>
      <c r="AG61" s="26" t="n">
        <f aca="false">IF(AG$3=Assumptions!$F$7,MIN(Assumptions!$F$80,AG60),0)</f>
        <v>0</v>
      </c>
      <c r="AH61" s="26" t="n">
        <f aca="false">IF(AH$3=Assumptions!$F$7,MIN(Assumptions!$F$80,AH60),0)</f>
        <v>0</v>
      </c>
      <c r="AI61" s="26" t="n">
        <f aca="false">IF(AI$3=Assumptions!$F$7,MIN(Assumptions!$F$80,AI60),0)</f>
        <v>0</v>
      </c>
      <c r="AJ61" s="26" t="n">
        <f aca="false">IF(AJ$3=Assumptions!$F$7,MIN(Assumptions!$F$80,AJ60),0)</f>
        <v>0</v>
      </c>
      <c r="AK61" s="26" t="n">
        <f aca="false">IF(AK$3=Assumptions!$F$7,MIN(Assumptions!$F$80,AK60),0)</f>
        <v>0</v>
      </c>
      <c r="AL61" s="26" t="n">
        <f aca="false">IF(AL$3=Assumptions!$F$7,MIN(Assumptions!$F$80,AL60),0)</f>
        <v>0</v>
      </c>
      <c r="AM61" s="26" t="n">
        <f aca="false">IF(AM$3=Assumptions!$F$7,MIN(Assumptions!$F$80,AM60),0)</f>
        <v>0</v>
      </c>
      <c r="AN61" s="26" t="n">
        <f aca="false">IF(AN$3=Assumptions!$F$7,MIN(Assumptions!$F$80,AN60),0)</f>
        <v>0</v>
      </c>
      <c r="AO61" s="26" t="n">
        <f aca="false">IF(AO$3=Assumptions!$F$7,MIN(Assumptions!$F$80,AO60),0)</f>
        <v>0</v>
      </c>
      <c r="AP61" s="26" t="n">
        <f aca="false">IF(AP$3=Assumptions!$F$7,MIN(Assumptions!$F$80,AP60),0)</f>
        <v>0</v>
      </c>
      <c r="AQ61" s="26" t="n">
        <f aca="false">IF(AQ$3=Assumptions!$F$7,MIN(Assumptions!$F$80,AQ60),0)</f>
        <v>0</v>
      </c>
      <c r="AR61" s="26" t="n">
        <f aca="false">IF(AR$3=Assumptions!$F$7,MIN(Assumptions!$F$80,AR60),0)</f>
        <v>0</v>
      </c>
      <c r="AS61" s="26" t="n">
        <f aca="false">IF(AS$3=Assumptions!$F$7,MIN(Assumptions!$F$80,AS60),0)</f>
        <v>0</v>
      </c>
      <c r="AT61" s="26" t="n">
        <f aca="false">IF(AT$3=Assumptions!$F$7,MIN(Assumptions!$F$80,AT60),0)</f>
        <v>0</v>
      </c>
      <c r="AU61" s="26" t="n">
        <f aca="false">IF(AU$3=Assumptions!$F$7,MIN(Assumptions!$F$80,AU60),0)</f>
        <v>0</v>
      </c>
      <c r="AV61" s="26" t="n">
        <f aca="false">IF(AV$3=Assumptions!$F$7,MIN(Assumptions!$F$80,AV60),0)</f>
        <v>0</v>
      </c>
      <c r="AW61" s="26" t="n">
        <f aca="false">IF(AW$3=Assumptions!$F$7,MIN(Assumptions!$F$80,AW60),0)</f>
        <v>0</v>
      </c>
      <c r="AX61" s="26" t="n">
        <f aca="false">IF(AX$3=Assumptions!$F$7,MIN(Assumptions!$F$80,AX60),0)</f>
        <v>0</v>
      </c>
      <c r="AY61" s="26" t="n">
        <f aca="false">IF(AY$3=Assumptions!$F$7,MIN(Assumptions!$F$80,AY60),0)</f>
        <v>0</v>
      </c>
      <c r="AZ61" s="26" t="n">
        <f aca="false">IF(AZ$3=Assumptions!$F$7,MIN(Assumptions!$F$80,AZ60),0)</f>
        <v>0</v>
      </c>
      <c r="BA61" s="26" t="n">
        <f aca="false">IF(BA$3=Assumptions!$F$7,MIN(Assumptions!$F$80,BA60),0)</f>
        <v>0</v>
      </c>
      <c r="BB61" s="26" t="n">
        <f aca="false">IF(BB$3=Assumptions!$F$7,MIN(Assumptions!$F$80,BB60),0)</f>
        <v>0</v>
      </c>
      <c r="BC61" s="26" t="n">
        <f aca="false">IF(BC$3=Assumptions!$F$7,MIN(Assumptions!$F$80,BC60),0)</f>
        <v>0</v>
      </c>
      <c r="BD61" s="26" t="n">
        <f aca="false">IF(BD$3=Assumptions!$F$7,MIN(Assumptions!$F$80,BD60),0)</f>
        <v>0</v>
      </c>
      <c r="BE61" s="26" t="n">
        <f aca="false">IF(BE$3=Assumptions!$F$7,MIN(Assumptions!$F$80,BE60),0)</f>
        <v>0</v>
      </c>
      <c r="BF61" s="26" t="n">
        <f aca="false">IF(BF$3=Assumptions!$F$7,MIN(Assumptions!$F$80,BF60),0)</f>
        <v>0</v>
      </c>
      <c r="BG61" s="26" t="n">
        <f aca="false">IF(BG$3=Assumptions!$F$7,MIN(Assumptions!$F$80,BG60),0)</f>
        <v>0</v>
      </c>
      <c r="BH61" s="26" t="n">
        <f aca="false">IF(BH$3=Assumptions!$F$7,MIN(Assumptions!$F$80,BH60),0)</f>
        <v>0</v>
      </c>
      <c r="BI61" s="26" t="n">
        <f aca="false">IF(BI$3=Assumptions!$F$7,MIN(Assumptions!$F$80,BI60),0)</f>
        <v>0</v>
      </c>
      <c r="BJ61" s="26" t="n">
        <f aca="false">IF(BJ$3=Assumptions!$F$7,MIN(Assumptions!$F$80,BJ60),0)</f>
        <v>0</v>
      </c>
    </row>
    <row r="62" customFormat="false" ht="15" hidden="false" customHeight="false" outlineLevel="0" collapsed="false">
      <c r="A62" s="9" t="s">
        <v>235</v>
      </c>
      <c r="B62" s="9"/>
      <c r="C62" s="26" t="n">
        <f aca="false">IF(C$3&gt;Assumptions!$F$7,Assumptions!$F$76/(Assumptions!$F$81*12)+IF(C$3&lt;=Assumptions!$F$7+Assumptions!$F$82*12,Assumptions!$F$77/(Assumptions!$F$82*12),0),0)+IF(AND(Assumptions!$F$9=1,C$3&gt;Assumptions!$F$10-1),(Assumptions!$F$78/(Assumptions!$F$81*12)+Assumptions!$F$79/(Assumptions!$F$82*12))*(1+Assumptions!$F$41)^(INT((Assumptions!$F$10-2)/12)),0)</f>
        <v>0</v>
      </c>
      <c r="D62" s="26" t="n">
        <f aca="false">IF(D$3&gt;Assumptions!$F$7,Assumptions!$F$76/(Assumptions!$F$81*12)+IF(D$3&lt;=Assumptions!$F$7+Assumptions!$F$82*12,Assumptions!$F$77/(Assumptions!$F$82*12),0),0)+IF(AND(Assumptions!$F$9=1,D$3&gt;Assumptions!$F$10-1),(Assumptions!$F$78/(Assumptions!$F$81*12)+Assumptions!$F$79/(Assumptions!$F$82*12))*(1+Assumptions!$F$41)^(INT((Assumptions!$F$10-2)/12)),0)</f>
        <v>0</v>
      </c>
      <c r="E62" s="26" t="n">
        <f aca="false">IF(E$3&gt;Assumptions!$F$7,Assumptions!$F$76/(Assumptions!$F$81*12)+IF(E$3&lt;=Assumptions!$F$7+Assumptions!$F$82*12,Assumptions!$F$77/(Assumptions!$F$82*12),0),0)+IF(AND(Assumptions!$F$9=1,E$3&gt;Assumptions!$F$10-1),(Assumptions!$F$78/(Assumptions!$F$81*12)+Assumptions!$F$79/(Assumptions!$F$82*12))*(1+Assumptions!$F$41)^(INT((Assumptions!$F$10-2)/12)),0)</f>
        <v>0</v>
      </c>
      <c r="F62" s="26" t="n">
        <f aca="false">IF(F$3&gt;Assumptions!$F$7,Assumptions!$F$76/(Assumptions!$F$81*12)+IF(F$3&lt;=Assumptions!$F$7+Assumptions!$F$82*12,Assumptions!$F$77/(Assumptions!$F$82*12),0),0)+IF(AND(Assumptions!$F$9=1,F$3&gt;Assumptions!$F$10-1),(Assumptions!$F$78/(Assumptions!$F$81*12)+Assumptions!$F$79/(Assumptions!$F$82*12))*(1+Assumptions!$F$41)^(INT((Assumptions!$F$10-2)/12)),0)</f>
        <v>0</v>
      </c>
      <c r="G62" s="26" t="n">
        <f aca="false">IF(G$3&gt;Assumptions!$F$7,Assumptions!$F$76/(Assumptions!$F$81*12)+IF(G$3&lt;=Assumptions!$F$7+Assumptions!$F$82*12,Assumptions!$F$77/(Assumptions!$F$82*12),0),0)+IF(AND(Assumptions!$F$9=1,G$3&gt;Assumptions!$F$10-1),(Assumptions!$F$78/(Assumptions!$F$81*12)+Assumptions!$F$79/(Assumptions!$F$82*12))*(1+Assumptions!$F$41)^(INT((Assumptions!$F$10-2)/12)),0)</f>
        <v>1216.66666666667</v>
      </c>
      <c r="H62" s="26" t="n">
        <f aca="false">IF(H$3&gt;Assumptions!$F$7,Assumptions!$F$76/(Assumptions!$F$81*12)+IF(H$3&lt;=Assumptions!$F$7+Assumptions!$F$82*12,Assumptions!$F$77/(Assumptions!$F$82*12),0),0)+IF(AND(Assumptions!$F$9=1,H$3&gt;Assumptions!$F$10-1),(Assumptions!$F$78/(Assumptions!$F$81*12)+Assumptions!$F$79/(Assumptions!$F$82*12))*(1+Assumptions!$F$41)^(INT((Assumptions!$F$10-2)/12)),0)</f>
        <v>1216.66666666667</v>
      </c>
      <c r="I62" s="26" t="n">
        <f aca="false">IF(I$3&gt;Assumptions!$F$7,Assumptions!$F$76/(Assumptions!$F$81*12)+IF(I$3&lt;=Assumptions!$F$7+Assumptions!$F$82*12,Assumptions!$F$77/(Assumptions!$F$82*12),0),0)+IF(AND(Assumptions!$F$9=1,I$3&gt;Assumptions!$F$10-1),(Assumptions!$F$78/(Assumptions!$F$81*12)+Assumptions!$F$79/(Assumptions!$F$82*12))*(1+Assumptions!$F$41)^(INT((Assumptions!$F$10-2)/12)),0)</f>
        <v>1216.66666666667</v>
      </c>
      <c r="J62" s="26" t="n">
        <f aca="false">IF(J$3&gt;Assumptions!$F$7,Assumptions!$F$76/(Assumptions!$F$81*12)+IF(J$3&lt;=Assumptions!$F$7+Assumptions!$F$82*12,Assumptions!$F$77/(Assumptions!$F$82*12),0),0)+IF(AND(Assumptions!$F$9=1,J$3&gt;Assumptions!$F$10-1),(Assumptions!$F$78/(Assumptions!$F$81*12)+Assumptions!$F$79/(Assumptions!$F$82*12))*(1+Assumptions!$F$41)^(INT((Assumptions!$F$10-2)/12)),0)</f>
        <v>1216.66666666667</v>
      </c>
      <c r="K62" s="26" t="n">
        <f aca="false">IF(K$3&gt;Assumptions!$F$7,Assumptions!$F$76/(Assumptions!$F$81*12)+IF(K$3&lt;=Assumptions!$F$7+Assumptions!$F$82*12,Assumptions!$F$77/(Assumptions!$F$82*12),0),0)+IF(AND(Assumptions!$F$9=1,K$3&gt;Assumptions!$F$10-1),(Assumptions!$F$78/(Assumptions!$F$81*12)+Assumptions!$F$79/(Assumptions!$F$82*12))*(1+Assumptions!$F$41)^(INT((Assumptions!$F$10-2)/12)),0)</f>
        <v>1216.66666666667</v>
      </c>
      <c r="L62" s="26" t="n">
        <f aca="false">IF(L$3&gt;Assumptions!$F$7,Assumptions!$F$76/(Assumptions!$F$81*12)+IF(L$3&lt;=Assumptions!$F$7+Assumptions!$F$82*12,Assumptions!$F$77/(Assumptions!$F$82*12),0),0)+IF(AND(Assumptions!$F$9=1,L$3&gt;Assumptions!$F$10-1),(Assumptions!$F$78/(Assumptions!$F$81*12)+Assumptions!$F$79/(Assumptions!$F$82*12))*(1+Assumptions!$F$41)^(INT((Assumptions!$F$10-2)/12)),0)</f>
        <v>1216.66666666667</v>
      </c>
      <c r="M62" s="26" t="n">
        <f aca="false">IF(M$3&gt;Assumptions!$F$7,Assumptions!$F$76/(Assumptions!$F$81*12)+IF(M$3&lt;=Assumptions!$F$7+Assumptions!$F$82*12,Assumptions!$F$77/(Assumptions!$F$82*12),0),0)+IF(AND(Assumptions!$F$9=1,M$3&gt;Assumptions!$F$10-1),(Assumptions!$F$78/(Assumptions!$F$81*12)+Assumptions!$F$79/(Assumptions!$F$82*12))*(1+Assumptions!$F$41)^(INT((Assumptions!$F$10-2)/12)),0)</f>
        <v>1216.66666666667</v>
      </c>
      <c r="N62" s="26" t="n">
        <f aca="false">IF(N$3&gt;Assumptions!$F$7,Assumptions!$F$76/(Assumptions!$F$81*12)+IF(N$3&lt;=Assumptions!$F$7+Assumptions!$F$82*12,Assumptions!$F$77/(Assumptions!$F$82*12),0),0)+IF(AND(Assumptions!$F$9=1,N$3&gt;Assumptions!$F$10-1),(Assumptions!$F$78/(Assumptions!$F$81*12)+Assumptions!$F$79/(Assumptions!$F$82*12))*(1+Assumptions!$F$41)^(INT((Assumptions!$F$10-2)/12)),0)</f>
        <v>1216.66666666667</v>
      </c>
      <c r="O62" s="26" t="n">
        <f aca="false">IF(O$3&gt;Assumptions!$F$7,Assumptions!$F$76/(Assumptions!$F$81*12)+IF(O$3&lt;=Assumptions!$F$7+Assumptions!$F$82*12,Assumptions!$F$77/(Assumptions!$F$82*12),0),0)+IF(AND(Assumptions!$F$9=1,O$3&gt;Assumptions!$F$10-1),(Assumptions!$F$78/(Assumptions!$F$81*12)+Assumptions!$F$79/(Assumptions!$F$82*12))*(1+Assumptions!$F$41)^(INT((Assumptions!$F$10-2)/12)),0)</f>
        <v>1216.66666666667</v>
      </c>
      <c r="P62" s="26" t="n">
        <f aca="false">IF(P$3&gt;Assumptions!$F$7,Assumptions!$F$76/(Assumptions!$F$81*12)+IF(P$3&lt;=Assumptions!$F$7+Assumptions!$F$82*12,Assumptions!$F$77/(Assumptions!$F$82*12),0),0)+IF(AND(Assumptions!$F$9=1,P$3&gt;Assumptions!$F$10-1),(Assumptions!$F$78/(Assumptions!$F$81*12)+Assumptions!$F$79/(Assumptions!$F$82*12))*(1+Assumptions!$F$41)^(INT((Assumptions!$F$10-2)/12)),0)</f>
        <v>1216.66666666667</v>
      </c>
      <c r="Q62" s="26" t="n">
        <f aca="false">IF(Q$3&gt;Assumptions!$F$7,Assumptions!$F$76/(Assumptions!$F$81*12)+IF(Q$3&lt;=Assumptions!$F$7+Assumptions!$F$82*12,Assumptions!$F$77/(Assumptions!$F$82*12),0),0)+IF(AND(Assumptions!$F$9=1,Q$3&gt;Assumptions!$F$10-1),(Assumptions!$F$78/(Assumptions!$F$81*12)+Assumptions!$F$79/(Assumptions!$F$82*12))*(1+Assumptions!$F$41)^(INT((Assumptions!$F$10-2)/12)),0)</f>
        <v>1216.66666666667</v>
      </c>
      <c r="R62" s="26" t="n">
        <f aca="false">IF(R$3&gt;Assumptions!$F$7,Assumptions!$F$76/(Assumptions!$F$81*12)+IF(R$3&lt;=Assumptions!$F$7+Assumptions!$F$82*12,Assumptions!$F$77/(Assumptions!$F$82*12),0),0)+IF(AND(Assumptions!$F$9=1,R$3&gt;Assumptions!$F$10-1),(Assumptions!$F$78/(Assumptions!$F$81*12)+Assumptions!$F$79/(Assumptions!$F$82*12))*(1+Assumptions!$F$41)^(INT((Assumptions!$F$10-2)/12)),0)</f>
        <v>1216.66666666667</v>
      </c>
      <c r="S62" s="26" t="n">
        <f aca="false">IF(S$3&gt;Assumptions!$F$7,Assumptions!$F$76/(Assumptions!$F$81*12)+IF(S$3&lt;=Assumptions!$F$7+Assumptions!$F$82*12,Assumptions!$F$77/(Assumptions!$F$82*12),0),0)+IF(AND(Assumptions!$F$9=1,S$3&gt;Assumptions!$F$10-1),(Assumptions!$F$78/(Assumptions!$F$81*12)+Assumptions!$F$79/(Assumptions!$F$82*12))*(1+Assumptions!$F$41)^(INT((Assumptions!$F$10-2)/12)),0)</f>
        <v>2056.66666666667</v>
      </c>
      <c r="T62" s="26" t="n">
        <f aca="false">IF(T$3&gt;Assumptions!$F$7,Assumptions!$F$76/(Assumptions!$F$81*12)+IF(T$3&lt;=Assumptions!$F$7+Assumptions!$F$82*12,Assumptions!$F$77/(Assumptions!$F$82*12),0),0)+IF(AND(Assumptions!$F$9=1,T$3&gt;Assumptions!$F$10-1),(Assumptions!$F$78/(Assumptions!$F$81*12)+Assumptions!$F$79/(Assumptions!$F$82*12))*(1+Assumptions!$F$41)^(INT((Assumptions!$F$10-2)/12)),0)</f>
        <v>2056.66666666667</v>
      </c>
      <c r="U62" s="26" t="n">
        <f aca="false">IF(U$3&gt;Assumptions!$F$7,Assumptions!$F$76/(Assumptions!$F$81*12)+IF(U$3&lt;=Assumptions!$F$7+Assumptions!$F$82*12,Assumptions!$F$77/(Assumptions!$F$82*12),0),0)+IF(AND(Assumptions!$F$9=1,U$3&gt;Assumptions!$F$10-1),(Assumptions!$F$78/(Assumptions!$F$81*12)+Assumptions!$F$79/(Assumptions!$F$82*12))*(1+Assumptions!$F$41)^(INT((Assumptions!$F$10-2)/12)),0)</f>
        <v>2056.66666666667</v>
      </c>
      <c r="V62" s="26" t="n">
        <f aca="false">IF(V$3&gt;Assumptions!$F$7,Assumptions!$F$76/(Assumptions!$F$81*12)+IF(V$3&lt;=Assumptions!$F$7+Assumptions!$F$82*12,Assumptions!$F$77/(Assumptions!$F$82*12),0),0)+IF(AND(Assumptions!$F$9=1,V$3&gt;Assumptions!$F$10-1),(Assumptions!$F$78/(Assumptions!$F$81*12)+Assumptions!$F$79/(Assumptions!$F$82*12))*(1+Assumptions!$F$41)^(INT((Assumptions!$F$10-2)/12)),0)</f>
        <v>2056.66666666667</v>
      </c>
      <c r="W62" s="26" t="n">
        <f aca="false">IF(W$3&gt;Assumptions!$F$7,Assumptions!$F$76/(Assumptions!$F$81*12)+IF(W$3&lt;=Assumptions!$F$7+Assumptions!$F$82*12,Assumptions!$F$77/(Assumptions!$F$82*12),0),0)+IF(AND(Assumptions!$F$9=1,W$3&gt;Assumptions!$F$10-1),(Assumptions!$F$78/(Assumptions!$F$81*12)+Assumptions!$F$79/(Assumptions!$F$82*12))*(1+Assumptions!$F$41)^(INT((Assumptions!$F$10-2)/12)),0)</f>
        <v>2056.66666666667</v>
      </c>
      <c r="X62" s="26" t="n">
        <f aca="false">IF(X$3&gt;Assumptions!$F$7,Assumptions!$F$76/(Assumptions!$F$81*12)+IF(X$3&lt;=Assumptions!$F$7+Assumptions!$F$82*12,Assumptions!$F$77/(Assumptions!$F$82*12),0),0)+IF(AND(Assumptions!$F$9=1,X$3&gt;Assumptions!$F$10-1),(Assumptions!$F$78/(Assumptions!$F$81*12)+Assumptions!$F$79/(Assumptions!$F$82*12))*(1+Assumptions!$F$41)^(INT((Assumptions!$F$10-2)/12)),0)</f>
        <v>2056.66666666667</v>
      </c>
      <c r="Y62" s="26" t="n">
        <f aca="false">IF(Y$3&gt;Assumptions!$F$7,Assumptions!$F$76/(Assumptions!$F$81*12)+IF(Y$3&lt;=Assumptions!$F$7+Assumptions!$F$82*12,Assumptions!$F$77/(Assumptions!$F$82*12),0),0)+IF(AND(Assumptions!$F$9=1,Y$3&gt;Assumptions!$F$10-1),(Assumptions!$F$78/(Assumptions!$F$81*12)+Assumptions!$F$79/(Assumptions!$F$82*12))*(1+Assumptions!$F$41)^(INT((Assumptions!$F$10-2)/12)),0)</f>
        <v>2056.66666666667</v>
      </c>
      <c r="Z62" s="26" t="n">
        <f aca="false">IF(Z$3&gt;Assumptions!$F$7,Assumptions!$F$76/(Assumptions!$F$81*12)+IF(Z$3&lt;=Assumptions!$F$7+Assumptions!$F$82*12,Assumptions!$F$77/(Assumptions!$F$82*12),0),0)+IF(AND(Assumptions!$F$9=1,Z$3&gt;Assumptions!$F$10-1),(Assumptions!$F$78/(Assumptions!$F$81*12)+Assumptions!$F$79/(Assumptions!$F$82*12))*(1+Assumptions!$F$41)^(INT((Assumptions!$F$10-2)/12)),0)</f>
        <v>2056.66666666667</v>
      </c>
      <c r="AA62" s="26" t="n">
        <f aca="false">IF(AA$3&gt;Assumptions!$F$7,Assumptions!$F$76/(Assumptions!$F$81*12)+IF(AA$3&lt;=Assumptions!$F$7+Assumptions!$F$82*12,Assumptions!$F$77/(Assumptions!$F$82*12),0),0)+IF(AND(Assumptions!$F$9=1,AA$3&gt;Assumptions!$F$10-1),(Assumptions!$F$78/(Assumptions!$F$81*12)+Assumptions!$F$79/(Assumptions!$F$82*12))*(1+Assumptions!$F$41)^(INT((Assumptions!$F$10-2)/12)),0)</f>
        <v>2056.66666666667</v>
      </c>
      <c r="AB62" s="26" t="n">
        <f aca="false">IF(AB$3&gt;Assumptions!$F$7,Assumptions!$F$76/(Assumptions!$F$81*12)+IF(AB$3&lt;=Assumptions!$F$7+Assumptions!$F$82*12,Assumptions!$F$77/(Assumptions!$F$82*12),0),0)+IF(AND(Assumptions!$F$9=1,AB$3&gt;Assumptions!$F$10-1),(Assumptions!$F$78/(Assumptions!$F$81*12)+Assumptions!$F$79/(Assumptions!$F$82*12))*(1+Assumptions!$F$41)^(INT((Assumptions!$F$10-2)/12)),0)</f>
        <v>2056.66666666667</v>
      </c>
      <c r="AC62" s="26" t="n">
        <f aca="false">IF(AC$3&gt;Assumptions!$F$7,Assumptions!$F$76/(Assumptions!$F$81*12)+IF(AC$3&lt;=Assumptions!$F$7+Assumptions!$F$82*12,Assumptions!$F$77/(Assumptions!$F$82*12),0),0)+IF(AND(Assumptions!$F$9=1,AC$3&gt;Assumptions!$F$10-1),(Assumptions!$F$78/(Assumptions!$F$81*12)+Assumptions!$F$79/(Assumptions!$F$82*12))*(1+Assumptions!$F$41)^(INT((Assumptions!$F$10-2)/12)),0)</f>
        <v>2056.66666666667</v>
      </c>
      <c r="AD62" s="26" t="n">
        <f aca="false">IF(AD$3&gt;Assumptions!$F$7,Assumptions!$F$76/(Assumptions!$F$81*12)+IF(AD$3&lt;=Assumptions!$F$7+Assumptions!$F$82*12,Assumptions!$F$77/(Assumptions!$F$82*12),0),0)+IF(AND(Assumptions!$F$9=1,AD$3&gt;Assumptions!$F$10-1),(Assumptions!$F$78/(Assumptions!$F$81*12)+Assumptions!$F$79/(Assumptions!$F$82*12))*(1+Assumptions!$F$41)^(INT((Assumptions!$F$10-2)/12)),0)</f>
        <v>2056.66666666667</v>
      </c>
      <c r="AE62" s="26" t="n">
        <f aca="false">IF(AE$3&gt;Assumptions!$F$7,Assumptions!$F$76/(Assumptions!$F$81*12)+IF(AE$3&lt;=Assumptions!$F$7+Assumptions!$F$82*12,Assumptions!$F$77/(Assumptions!$F$82*12),0),0)+IF(AND(Assumptions!$F$9=1,AE$3&gt;Assumptions!$F$10-1),(Assumptions!$F$78/(Assumptions!$F$81*12)+Assumptions!$F$79/(Assumptions!$F$82*12))*(1+Assumptions!$F$41)^(INT((Assumptions!$F$10-2)/12)),0)</f>
        <v>2056.66666666667</v>
      </c>
      <c r="AF62" s="26" t="n">
        <f aca="false">IF(AF$3&gt;Assumptions!$F$7,Assumptions!$F$76/(Assumptions!$F$81*12)+IF(AF$3&lt;=Assumptions!$F$7+Assumptions!$F$82*12,Assumptions!$F$77/(Assumptions!$F$82*12),0),0)+IF(AND(Assumptions!$F$9=1,AF$3&gt;Assumptions!$F$10-1),(Assumptions!$F$78/(Assumptions!$F$81*12)+Assumptions!$F$79/(Assumptions!$F$82*12))*(1+Assumptions!$F$41)^(INT((Assumptions!$F$10-2)/12)),0)</f>
        <v>2056.66666666667</v>
      </c>
      <c r="AG62" s="26" t="n">
        <f aca="false">IF(AG$3&gt;Assumptions!$F$7,Assumptions!$F$76/(Assumptions!$F$81*12)+IF(AG$3&lt;=Assumptions!$F$7+Assumptions!$F$82*12,Assumptions!$F$77/(Assumptions!$F$82*12),0),0)+IF(AND(Assumptions!$F$9=1,AG$3&gt;Assumptions!$F$10-1),(Assumptions!$F$78/(Assumptions!$F$81*12)+Assumptions!$F$79/(Assumptions!$F$82*12))*(1+Assumptions!$F$41)^(INT((Assumptions!$F$10-2)/12)),0)</f>
        <v>2056.66666666667</v>
      </c>
      <c r="AH62" s="26" t="n">
        <f aca="false">IF(AH$3&gt;Assumptions!$F$7,Assumptions!$F$76/(Assumptions!$F$81*12)+IF(AH$3&lt;=Assumptions!$F$7+Assumptions!$F$82*12,Assumptions!$F$77/(Assumptions!$F$82*12),0),0)+IF(AND(Assumptions!$F$9=1,AH$3&gt;Assumptions!$F$10-1),(Assumptions!$F$78/(Assumptions!$F$81*12)+Assumptions!$F$79/(Assumptions!$F$82*12))*(1+Assumptions!$F$41)^(INT((Assumptions!$F$10-2)/12)),0)</f>
        <v>2056.66666666667</v>
      </c>
      <c r="AI62" s="26" t="n">
        <f aca="false">IF(AI$3&gt;Assumptions!$F$7,Assumptions!$F$76/(Assumptions!$F$81*12)+IF(AI$3&lt;=Assumptions!$F$7+Assumptions!$F$82*12,Assumptions!$F$77/(Assumptions!$F$82*12),0),0)+IF(AND(Assumptions!$F$9=1,AI$3&gt;Assumptions!$F$10-1),(Assumptions!$F$78/(Assumptions!$F$81*12)+Assumptions!$F$79/(Assumptions!$F$82*12))*(1+Assumptions!$F$41)^(INT((Assumptions!$F$10-2)/12)),0)</f>
        <v>2056.66666666667</v>
      </c>
      <c r="AJ62" s="26" t="n">
        <f aca="false">IF(AJ$3&gt;Assumptions!$F$7,Assumptions!$F$76/(Assumptions!$F$81*12)+IF(AJ$3&lt;=Assumptions!$F$7+Assumptions!$F$82*12,Assumptions!$F$77/(Assumptions!$F$82*12),0),0)+IF(AND(Assumptions!$F$9=1,AJ$3&gt;Assumptions!$F$10-1),(Assumptions!$F$78/(Assumptions!$F$81*12)+Assumptions!$F$79/(Assumptions!$F$82*12))*(1+Assumptions!$F$41)^(INT((Assumptions!$F$10-2)/12)),0)</f>
        <v>2056.66666666667</v>
      </c>
      <c r="AK62" s="26" t="n">
        <f aca="false">IF(AK$3&gt;Assumptions!$F$7,Assumptions!$F$76/(Assumptions!$F$81*12)+IF(AK$3&lt;=Assumptions!$F$7+Assumptions!$F$82*12,Assumptions!$F$77/(Assumptions!$F$82*12),0),0)+IF(AND(Assumptions!$F$9=1,AK$3&gt;Assumptions!$F$10-1),(Assumptions!$F$78/(Assumptions!$F$81*12)+Assumptions!$F$79/(Assumptions!$F$82*12))*(1+Assumptions!$F$41)^(INT((Assumptions!$F$10-2)/12)),0)</f>
        <v>2056.66666666667</v>
      </c>
      <c r="AL62" s="26" t="n">
        <f aca="false">IF(AL$3&gt;Assumptions!$F$7,Assumptions!$F$76/(Assumptions!$F$81*12)+IF(AL$3&lt;=Assumptions!$F$7+Assumptions!$F$82*12,Assumptions!$F$77/(Assumptions!$F$82*12),0),0)+IF(AND(Assumptions!$F$9=1,AL$3&gt;Assumptions!$F$10-1),(Assumptions!$F$78/(Assumptions!$F$81*12)+Assumptions!$F$79/(Assumptions!$F$82*12))*(1+Assumptions!$F$41)^(INT((Assumptions!$F$10-2)/12)),0)</f>
        <v>2056.66666666667</v>
      </c>
      <c r="AM62" s="26" t="n">
        <f aca="false">IF(AM$3&gt;Assumptions!$F$7,Assumptions!$F$76/(Assumptions!$F$81*12)+IF(AM$3&lt;=Assumptions!$F$7+Assumptions!$F$82*12,Assumptions!$F$77/(Assumptions!$F$82*12),0),0)+IF(AND(Assumptions!$F$9=1,AM$3&gt;Assumptions!$F$10-1),(Assumptions!$F$78/(Assumptions!$F$81*12)+Assumptions!$F$79/(Assumptions!$F$82*12))*(1+Assumptions!$F$41)^(INT((Assumptions!$F$10-2)/12)),0)</f>
        <v>2056.66666666667</v>
      </c>
      <c r="AN62" s="26" t="n">
        <f aca="false">IF(AN$3&gt;Assumptions!$F$7,Assumptions!$F$76/(Assumptions!$F$81*12)+IF(AN$3&lt;=Assumptions!$F$7+Assumptions!$F$82*12,Assumptions!$F$77/(Assumptions!$F$82*12),0),0)+IF(AND(Assumptions!$F$9=1,AN$3&gt;Assumptions!$F$10-1),(Assumptions!$F$78/(Assumptions!$F$81*12)+Assumptions!$F$79/(Assumptions!$F$82*12))*(1+Assumptions!$F$41)^(INT((Assumptions!$F$10-2)/12)),0)</f>
        <v>2056.66666666667</v>
      </c>
      <c r="AO62" s="26" t="n">
        <f aca="false">IF(AO$3&gt;Assumptions!$F$7,Assumptions!$F$76/(Assumptions!$F$81*12)+IF(AO$3&lt;=Assumptions!$F$7+Assumptions!$F$82*12,Assumptions!$F$77/(Assumptions!$F$82*12),0),0)+IF(AND(Assumptions!$F$9=1,AO$3&gt;Assumptions!$F$10-1),(Assumptions!$F$78/(Assumptions!$F$81*12)+Assumptions!$F$79/(Assumptions!$F$82*12))*(1+Assumptions!$F$41)^(INT((Assumptions!$F$10-2)/12)),0)</f>
        <v>2056.66666666667</v>
      </c>
      <c r="AP62" s="26" t="n">
        <f aca="false">IF(AP$3&gt;Assumptions!$F$7,Assumptions!$F$76/(Assumptions!$F$81*12)+IF(AP$3&lt;=Assumptions!$F$7+Assumptions!$F$82*12,Assumptions!$F$77/(Assumptions!$F$82*12),0),0)+IF(AND(Assumptions!$F$9=1,AP$3&gt;Assumptions!$F$10-1),(Assumptions!$F$78/(Assumptions!$F$81*12)+Assumptions!$F$79/(Assumptions!$F$82*12))*(1+Assumptions!$F$41)^(INT((Assumptions!$F$10-2)/12)),0)</f>
        <v>2056.66666666667</v>
      </c>
      <c r="AQ62" s="26" t="n">
        <f aca="false">IF(AQ$3&gt;Assumptions!$F$7,Assumptions!$F$76/(Assumptions!$F$81*12)+IF(AQ$3&lt;=Assumptions!$F$7+Assumptions!$F$82*12,Assumptions!$F$77/(Assumptions!$F$82*12),0),0)+IF(AND(Assumptions!$F$9=1,AQ$3&gt;Assumptions!$F$10-1),(Assumptions!$F$78/(Assumptions!$F$81*12)+Assumptions!$F$79/(Assumptions!$F$82*12))*(1+Assumptions!$F$41)^(INT((Assumptions!$F$10-2)/12)),0)</f>
        <v>2056.66666666667</v>
      </c>
      <c r="AR62" s="26" t="n">
        <f aca="false">IF(AR$3&gt;Assumptions!$F$7,Assumptions!$F$76/(Assumptions!$F$81*12)+IF(AR$3&lt;=Assumptions!$F$7+Assumptions!$F$82*12,Assumptions!$F$77/(Assumptions!$F$82*12),0),0)+IF(AND(Assumptions!$F$9=1,AR$3&gt;Assumptions!$F$10-1),(Assumptions!$F$78/(Assumptions!$F$81*12)+Assumptions!$F$79/(Assumptions!$F$82*12))*(1+Assumptions!$F$41)^(INT((Assumptions!$F$10-2)/12)),0)</f>
        <v>2056.66666666667</v>
      </c>
      <c r="AS62" s="26" t="n">
        <f aca="false">IF(AS$3&gt;Assumptions!$F$7,Assumptions!$F$76/(Assumptions!$F$81*12)+IF(AS$3&lt;=Assumptions!$F$7+Assumptions!$F$82*12,Assumptions!$F$77/(Assumptions!$F$82*12),0),0)+IF(AND(Assumptions!$F$9=1,AS$3&gt;Assumptions!$F$10-1),(Assumptions!$F$78/(Assumptions!$F$81*12)+Assumptions!$F$79/(Assumptions!$F$82*12))*(1+Assumptions!$F$41)^(INT((Assumptions!$F$10-2)/12)),0)</f>
        <v>2056.66666666667</v>
      </c>
      <c r="AT62" s="26" t="n">
        <f aca="false">IF(AT$3&gt;Assumptions!$F$7,Assumptions!$F$76/(Assumptions!$F$81*12)+IF(AT$3&lt;=Assumptions!$F$7+Assumptions!$F$82*12,Assumptions!$F$77/(Assumptions!$F$82*12),0),0)+IF(AND(Assumptions!$F$9=1,AT$3&gt;Assumptions!$F$10-1),(Assumptions!$F$78/(Assumptions!$F$81*12)+Assumptions!$F$79/(Assumptions!$F$82*12))*(1+Assumptions!$F$41)^(INT((Assumptions!$F$10-2)/12)),0)</f>
        <v>2056.66666666667</v>
      </c>
      <c r="AU62" s="26" t="n">
        <f aca="false">IF(AU$3&gt;Assumptions!$F$7,Assumptions!$F$76/(Assumptions!$F$81*12)+IF(AU$3&lt;=Assumptions!$F$7+Assumptions!$F$82*12,Assumptions!$F$77/(Assumptions!$F$82*12),0),0)+IF(AND(Assumptions!$F$9=1,AU$3&gt;Assumptions!$F$10-1),(Assumptions!$F$78/(Assumptions!$F$81*12)+Assumptions!$F$79/(Assumptions!$F$82*12))*(1+Assumptions!$F$41)^(INT((Assumptions!$F$10-2)/12)),0)</f>
        <v>2056.66666666667</v>
      </c>
      <c r="AV62" s="26" t="n">
        <f aca="false">IF(AV$3&gt;Assumptions!$F$7,Assumptions!$F$76/(Assumptions!$F$81*12)+IF(AV$3&lt;=Assumptions!$F$7+Assumptions!$F$82*12,Assumptions!$F$77/(Assumptions!$F$82*12),0),0)+IF(AND(Assumptions!$F$9=1,AV$3&gt;Assumptions!$F$10-1),(Assumptions!$F$78/(Assumptions!$F$81*12)+Assumptions!$F$79/(Assumptions!$F$82*12))*(1+Assumptions!$F$41)^(INT((Assumptions!$F$10-2)/12)),0)</f>
        <v>2056.66666666667</v>
      </c>
      <c r="AW62" s="26" t="n">
        <f aca="false">IF(AW$3&gt;Assumptions!$F$7,Assumptions!$F$76/(Assumptions!$F$81*12)+IF(AW$3&lt;=Assumptions!$F$7+Assumptions!$F$82*12,Assumptions!$F$77/(Assumptions!$F$82*12),0),0)+IF(AND(Assumptions!$F$9=1,AW$3&gt;Assumptions!$F$10-1),(Assumptions!$F$78/(Assumptions!$F$81*12)+Assumptions!$F$79/(Assumptions!$F$82*12))*(1+Assumptions!$F$41)^(INT((Assumptions!$F$10-2)/12)),0)</f>
        <v>2056.66666666667</v>
      </c>
      <c r="AX62" s="26" t="n">
        <f aca="false">IF(AX$3&gt;Assumptions!$F$7,Assumptions!$F$76/(Assumptions!$F$81*12)+IF(AX$3&lt;=Assumptions!$F$7+Assumptions!$F$82*12,Assumptions!$F$77/(Assumptions!$F$82*12),0),0)+IF(AND(Assumptions!$F$9=1,AX$3&gt;Assumptions!$F$10-1),(Assumptions!$F$78/(Assumptions!$F$81*12)+Assumptions!$F$79/(Assumptions!$F$82*12))*(1+Assumptions!$F$41)^(INT((Assumptions!$F$10-2)/12)),0)</f>
        <v>2056.66666666667</v>
      </c>
      <c r="AY62" s="26" t="n">
        <f aca="false">IF(AY$3&gt;Assumptions!$F$7,Assumptions!$F$76/(Assumptions!$F$81*12)+IF(AY$3&lt;=Assumptions!$F$7+Assumptions!$F$82*12,Assumptions!$F$77/(Assumptions!$F$82*12),0),0)+IF(AND(Assumptions!$F$9=1,AY$3&gt;Assumptions!$F$10-1),(Assumptions!$F$78/(Assumptions!$F$81*12)+Assumptions!$F$79/(Assumptions!$F$82*12))*(1+Assumptions!$F$41)^(INT((Assumptions!$F$10-2)/12)),0)</f>
        <v>2056.66666666667</v>
      </c>
      <c r="AZ62" s="26" t="n">
        <f aca="false">IF(AZ$3&gt;Assumptions!$F$7,Assumptions!$F$76/(Assumptions!$F$81*12)+IF(AZ$3&lt;=Assumptions!$F$7+Assumptions!$F$82*12,Assumptions!$F$77/(Assumptions!$F$82*12),0),0)+IF(AND(Assumptions!$F$9=1,AZ$3&gt;Assumptions!$F$10-1),(Assumptions!$F$78/(Assumptions!$F$81*12)+Assumptions!$F$79/(Assumptions!$F$82*12))*(1+Assumptions!$F$41)^(INT((Assumptions!$F$10-2)/12)),0)</f>
        <v>2056.66666666667</v>
      </c>
      <c r="BA62" s="26" t="n">
        <f aca="false">IF(BA$3&gt;Assumptions!$F$7,Assumptions!$F$76/(Assumptions!$F$81*12)+IF(BA$3&lt;=Assumptions!$F$7+Assumptions!$F$82*12,Assumptions!$F$77/(Assumptions!$F$82*12),0),0)+IF(AND(Assumptions!$F$9=1,BA$3&gt;Assumptions!$F$10-1),(Assumptions!$F$78/(Assumptions!$F$81*12)+Assumptions!$F$79/(Assumptions!$F$82*12))*(1+Assumptions!$F$41)^(INT((Assumptions!$F$10-2)/12)),0)</f>
        <v>2056.66666666667</v>
      </c>
      <c r="BB62" s="26" t="n">
        <f aca="false">IF(BB$3&gt;Assumptions!$F$7,Assumptions!$F$76/(Assumptions!$F$81*12)+IF(BB$3&lt;=Assumptions!$F$7+Assumptions!$F$82*12,Assumptions!$F$77/(Assumptions!$F$82*12),0),0)+IF(AND(Assumptions!$F$9=1,BB$3&gt;Assumptions!$F$10-1),(Assumptions!$F$78/(Assumptions!$F$81*12)+Assumptions!$F$79/(Assumptions!$F$82*12))*(1+Assumptions!$F$41)^(INT((Assumptions!$F$10-2)/12)),0)</f>
        <v>2056.66666666667</v>
      </c>
      <c r="BC62" s="26" t="n">
        <f aca="false">IF(BC$3&gt;Assumptions!$F$7,Assumptions!$F$76/(Assumptions!$F$81*12)+IF(BC$3&lt;=Assumptions!$F$7+Assumptions!$F$82*12,Assumptions!$F$77/(Assumptions!$F$82*12),0),0)+IF(AND(Assumptions!$F$9=1,BC$3&gt;Assumptions!$F$10-1),(Assumptions!$F$78/(Assumptions!$F$81*12)+Assumptions!$F$79/(Assumptions!$F$82*12))*(1+Assumptions!$F$41)^(INT((Assumptions!$F$10-2)/12)),0)</f>
        <v>2056.66666666667</v>
      </c>
      <c r="BD62" s="26" t="n">
        <f aca="false">IF(BD$3&gt;Assumptions!$F$7,Assumptions!$F$76/(Assumptions!$F$81*12)+IF(BD$3&lt;=Assumptions!$F$7+Assumptions!$F$82*12,Assumptions!$F$77/(Assumptions!$F$82*12),0),0)+IF(AND(Assumptions!$F$9=1,BD$3&gt;Assumptions!$F$10-1),(Assumptions!$F$78/(Assumptions!$F$81*12)+Assumptions!$F$79/(Assumptions!$F$82*12))*(1+Assumptions!$F$41)^(INT((Assumptions!$F$10-2)/12)),0)</f>
        <v>2056.66666666667</v>
      </c>
      <c r="BE62" s="26" t="n">
        <f aca="false">IF(BE$3&gt;Assumptions!$F$7,Assumptions!$F$76/(Assumptions!$F$81*12)+IF(BE$3&lt;=Assumptions!$F$7+Assumptions!$F$82*12,Assumptions!$F$77/(Assumptions!$F$82*12),0),0)+IF(AND(Assumptions!$F$9=1,BE$3&gt;Assumptions!$F$10-1),(Assumptions!$F$78/(Assumptions!$F$81*12)+Assumptions!$F$79/(Assumptions!$F$82*12))*(1+Assumptions!$F$41)^(INT((Assumptions!$F$10-2)/12)),0)</f>
        <v>2056.66666666667</v>
      </c>
      <c r="BF62" s="26" t="n">
        <f aca="false">IF(BF$3&gt;Assumptions!$F$7,Assumptions!$F$76/(Assumptions!$F$81*12)+IF(BF$3&lt;=Assumptions!$F$7+Assumptions!$F$82*12,Assumptions!$F$77/(Assumptions!$F$82*12),0),0)+IF(AND(Assumptions!$F$9=1,BF$3&gt;Assumptions!$F$10-1),(Assumptions!$F$78/(Assumptions!$F$81*12)+Assumptions!$F$79/(Assumptions!$F$82*12))*(1+Assumptions!$F$41)^(INT((Assumptions!$F$10-2)/12)),0)</f>
        <v>2056.66666666667</v>
      </c>
      <c r="BG62" s="26" t="n">
        <f aca="false">IF(BG$3&gt;Assumptions!$F$7,Assumptions!$F$76/(Assumptions!$F$81*12)+IF(BG$3&lt;=Assumptions!$F$7+Assumptions!$F$82*12,Assumptions!$F$77/(Assumptions!$F$82*12),0),0)+IF(AND(Assumptions!$F$9=1,BG$3&gt;Assumptions!$F$10-1),(Assumptions!$F$78/(Assumptions!$F$81*12)+Assumptions!$F$79/(Assumptions!$F$82*12))*(1+Assumptions!$F$41)^(INT((Assumptions!$F$10-2)/12)),0)</f>
        <v>2056.66666666667</v>
      </c>
      <c r="BH62" s="26" t="n">
        <f aca="false">IF(BH$3&gt;Assumptions!$F$7,Assumptions!$F$76/(Assumptions!$F$81*12)+IF(BH$3&lt;=Assumptions!$F$7+Assumptions!$F$82*12,Assumptions!$F$77/(Assumptions!$F$82*12),0),0)+IF(AND(Assumptions!$F$9=1,BH$3&gt;Assumptions!$F$10-1),(Assumptions!$F$78/(Assumptions!$F$81*12)+Assumptions!$F$79/(Assumptions!$F$82*12))*(1+Assumptions!$F$41)^(INT((Assumptions!$F$10-2)/12)),0)</f>
        <v>2056.66666666667</v>
      </c>
      <c r="BI62" s="26" t="n">
        <f aca="false">IF(BI$3&gt;Assumptions!$F$7,Assumptions!$F$76/(Assumptions!$F$81*12)+IF(BI$3&lt;=Assumptions!$F$7+Assumptions!$F$82*12,Assumptions!$F$77/(Assumptions!$F$82*12),0),0)+IF(AND(Assumptions!$F$9=1,BI$3&gt;Assumptions!$F$10-1),(Assumptions!$F$78/(Assumptions!$F$81*12)+Assumptions!$F$79/(Assumptions!$F$82*12))*(1+Assumptions!$F$41)^(INT((Assumptions!$F$10-2)/12)),0)</f>
        <v>2056.66666666667</v>
      </c>
      <c r="BJ62" s="26" t="n">
        <f aca="false">IF(BJ$3&gt;Assumptions!$F$7,Assumptions!$F$76/(Assumptions!$F$81*12)+IF(BJ$3&lt;=Assumptions!$F$7+Assumptions!$F$82*12,Assumptions!$F$77/(Assumptions!$F$82*12),0),0)+IF(AND(Assumptions!$F$9=1,BJ$3&gt;Assumptions!$F$10-1),(Assumptions!$F$78/(Assumptions!$F$81*12)+Assumptions!$F$79/(Assumptions!$F$82*12))*(1+Assumptions!$F$41)^(INT((Assumptions!$F$10-2)/12)),0)</f>
        <v>2056.66666666667</v>
      </c>
    </row>
    <row r="63" customFormat="false" ht="15" hidden="false" customHeight="false" outlineLevel="0" collapsed="false">
      <c r="A63" s="7" t="s">
        <v>236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customFormat="false" ht="15" hidden="false" customHeight="false" outlineLevel="0" collapsed="false">
      <c r="A64" s="9" t="s">
        <v>237</v>
      </c>
      <c r="B64" s="9"/>
      <c r="C64" s="26" t="n">
        <f aca="false">IF(C$3=Assumptions!$F$87,Assumptions!$F$88,0)</f>
        <v>0</v>
      </c>
      <c r="D64" s="26" t="n">
        <f aca="false">IF(D$3=Assumptions!$F$87,Assumptions!$F$88,0)</f>
        <v>0</v>
      </c>
      <c r="E64" s="26" t="n">
        <f aca="false">IF(E$3=Assumptions!$F$87,Assumptions!$F$88,0)</f>
        <v>120000</v>
      </c>
      <c r="F64" s="26" t="n">
        <f aca="false">IF(F$3=Assumptions!$F$87,Assumptions!$F$88,0)</f>
        <v>0</v>
      </c>
      <c r="G64" s="26" t="n">
        <f aca="false">IF(G$3=Assumptions!$F$87,Assumptions!$F$88,0)</f>
        <v>0</v>
      </c>
      <c r="H64" s="26" t="n">
        <f aca="false">IF(H$3=Assumptions!$F$87,Assumptions!$F$88,0)</f>
        <v>0</v>
      </c>
      <c r="I64" s="26" t="n">
        <f aca="false">IF(I$3=Assumptions!$F$87,Assumptions!$F$88,0)</f>
        <v>0</v>
      </c>
      <c r="J64" s="26" t="n">
        <f aca="false">IF(J$3=Assumptions!$F$87,Assumptions!$F$88,0)</f>
        <v>0</v>
      </c>
      <c r="K64" s="26" t="n">
        <f aca="false">IF(K$3=Assumptions!$F$87,Assumptions!$F$88,0)</f>
        <v>0</v>
      </c>
      <c r="L64" s="26" t="n">
        <f aca="false">IF(L$3=Assumptions!$F$87,Assumptions!$F$88,0)</f>
        <v>0</v>
      </c>
      <c r="M64" s="26" t="n">
        <f aca="false">IF(M$3=Assumptions!$F$87,Assumptions!$F$88,0)</f>
        <v>0</v>
      </c>
      <c r="N64" s="26" t="n">
        <f aca="false">IF(N$3=Assumptions!$F$87,Assumptions!$F$88,0)</f>
        <v>0</v>
      </c>
      <c r="O64" s="26" t="n">
        <f aca="false">IF(O$3=Assumptions!$F$87,Assumptions!$F$88,0)</f>
        <v>0</v>
      </c>
      <c r="P64" s="26" t="n">
        <f aca="false">IF(P$3=Assumptions!$F$87,Assumptions!$F$88,0)</f>
        <v>0</v>
      </c>
      <c r="Q64" s="26" t="n">
        <f aca="false">IF(Q$3=Assumptions!$F$87,Assumptions!$F$88,0)</f>
        <v>0</v>
      </c>
      <c r="R64" s="26" t="n">
        <f aca="false">IF(R$3=Assumptions!$F$87,Assumptions!$F$88,0)</f>
        <v>0</v>
      </c>
      <c r="S64" s="26" t="n">
        <f aca="false">IF(S$3=Assumptions!$F$87,Assumptions!$F$88,0)</f>
        <v>0</v>
      </c>
      <c r="T64" s="26" t="n">
        <f aca="false">IF(T$3=Assumptions!$F$87,Assumptions!$F$88,0)</f>
        <v>0</v>
      </c>
      <c r="U64" s="26" t="n">
        <f aca="false">IF(U$3=Assumptions!$F$87,Assumptions!$F$88,0)</f>
        <v>0</v>
      </c>
      <c r="V64" s="26" t="n">
        <f aca="false">IF(V$3=Assumptions!$F$87,Assumptions!$F$88,0)</f>
        <v>0</v>
      </c>
      <c r="W64" s="26" t="n">
        <f aca="false">IF(W$3=Assumptions!$F$87,Assumptions!$F$88,0)</f>
        <v>0</v>
      </c>
      <c r="X64" s="26" t="n">
        <f aca="false">IF(X$3=Assumptions!$F$87,Assumptions!$F$88,0)</f>
        <v>0</v>
      </c>
      <c r="Y64" s="26" t="n">
        <f aca="false">IF(Y$3=Assumptions!$F$87,Assumptions!$F$88,0)</f>
        <v>0</v>
      </c>
      <c r="Z64" s="26" t="n">
        <f aca="false">IF(Z$3=Assumptions!$F$87,Assumptions!$F$88,0)</f>
        <v>0</v>
      </c>
      <c r="AA64" s="26" t="n">
        <f aca="false">IF(AA$3=Assumptions!$F$87,Assumptions!$F$88,0)</f>
        <v>0</v>
      </c>
      <c r="AB64" s="26" t="n">
        <f aca="false">IF(AB$3=Assumptions!$F$87,Assumptions!$F$88,0)</f>
        <v>0</v>
      </c>
      <c r="AC64" s="26" t="n">
        <f aca="false">IF(AC$3=Assumptions!$F$87,Assumptions!$F$88,0)</f>
        <v>0</v>
      </c>
      <c r="AD64" s="26" t="n">
        <f aca="false">IF(AD$3=Assumptions!$F$87,Assumptions!$F$88,0)</f>
        <v>0</v>
      </c>
      <c r="AE64" s="26" t="n">
        <f aca="false">IF(AE$3=Assumptions!$F$87,Assumptions!$F$88,0)</f>
        <v>0</v>
      </c>
      <c r="AF64" s="26" t="n">
        <f aca="false">IF(AF$3=Assumptions!$F$87,Assumptions!$F$88,0)</f>
        <v>0</v>
      </c>
      <c r="AG64" s="26" t="n">
        <f aca="false">IF(AG$3=Assumptions!$F$87,Assumptions!$F$88,0)</f>
        <v>0</v>
      </c>
      <c r="AH64" s="26" t="n">
        <f aca="false">IF(AH$3=Assumptions!$F$87,Assumptions!$F$88,0)</f>
        <v>0</v>
      </c>
      <c r="AI64" s="26" t="n">
        <f aca="false">IF(AI$3=Assumptions!$F$87,Assumptions!$F$88,0)</f>
        <v>0</v>
      </c>
      <c r="AJ64" s="26" t="n">
        <f aca="false">IF(AJ$3=Assumptions!$F$87,Assumptions!$F$88,0)</f>
        <v>0</v>
      </c>
      <c r="AK64" s="26" t="n">
        <f aca="false">IF(AK$3=Assumptions!$F$87,Assumptions!$F$88,0)</f>
        <v>0</v>
      </c>
      <c r="AL64" s="26" t="n">
        <f aca="false">IF(AL$3=Assumptions!$F$87,Assumptions!$F$88,0)</f>
        <v>0</v>
      </c>
      <c r="AM64" s="26" t="n">
        <f aca="false">IF(AM$3=Assumptions!$F$87,Assumptions!$F$88,0)</f>
        <v>0</v>
      </c>
      <c r="AN64" s="26" t="n">
        <f aca="false">IF(AN$3=Assumptions!$F$87,Assumptions!$F$88,0)</f>
        <v>0</v>
      </c>
      <c r="AO64" s="26" t="n">
        <f aca="false">IF(AO$3=Assumptions!$F$87,Assumptions!$F$88,0)</f>
        <v>0</v>
      </c>
      <c r="AP64" s="26" t="n">
        <f aca="false">IF(AP$3=Assumptions!$F$87,Assumptions!$F$88,0)</f>
        <v>0</v>
      </c>
      <c r="AQ64" s="26" t="n">
        <f aca="false">IF(AQ$3=Assumptions!$F$87,Assumptions!$F$88,0)</f>
        <v>0</v>
      </c>
      <c r="AR64" s="26" t="n">
        <f aca="false">IF(AR$3=Assumptions!$F$87,Assumptions!$F$88,0)</f>
        <v>0</v>
      </c>
      <c r="AS64" s="26" t="n">
        <f aca="false">IF(AS$3=Assumptions!$F$87,Assumptions!$F$88,0)</f>
        <v>0</v>
      </c>
      <c r="AT64" s="26" t="n">
        <f aca="false">IF(AT$3=Assumptions!$F$87,Assumptions!$F$88,0)</f>
        <v>0</v>
      </c>
      <c r="AU64" s="26" t="n">
        <f aca="false">IF(AU$3=Assumptions!$F$87,Assumptions!$F$88,0)</f>
        <v>0</v>
      </c>
      <c r="AV64" s="26" t="n">
        <f aca="false">IF(AV$3=Assumptions!$F$87,Assumptions!$F$88,0)</f>
        <v>0</v>
      </c>
      <c r="AW64" s="26" t="n">
        <f aca="false">IF(AW$3=Assumptions!$F$87,Assumptions!$F$88,0)</f>
        <v>0</v>
      </c>
      <c r="AX64" s="26" t="n">
        <f aca="false">IF(AX$3=Assumptions!$F$87,Assumptions!$F$88,0)</f>
        <v>0</v>
      </c>
      <c r="AY64" s="26" t="n">
        <f aca="false">IF(AY$3=Assumptions!$F$87,Assumptions!$F$88,0)</f>
        <v>0</v>
      </c>
      <c r="AZ64" s="26" t="n">
        <f aca="false">IF(AZ$3=Assumptions!$F$87,Assumptions!$F$88,0)</f>
        <v>0</v>
      </c>
      <c r="BA64" s="26" t="n">
        <f aca="false">IF(BA$3=Assumptions!$F$87,Assumptions!$F$88,0)</f>
        <v>0</v>
      </c>
      <c r="BB64" s="26" t="n">
        <f aca="false">IF(BB$3=Assumptions!$F$87,Assumptions!$F$88,0)</f>
        <v>0</v>
      </c>
      <c r="BC64" s="26" t="n">
        <f aca="false">IF(BC$3=Assumptions!$F$87,Assumptions!$F$88,0)</f>
        <v>0</v>
      </c>
      <c r="BD64" s="26" t="n">
        <f aca="false">IF(BD$3=Assumptions!$F$87,Assumptions!$F$88,0)</f>
        <v>0</v>
      </c>
      <c r="BE64" s="26" t="n">
        <f aca="false">IF(BE$3=Assumptions!$F$87,Assumptions!$F$88,0)</f>
        <v>0</v>
      </c>
      <c r="BF64" s="26" t="n">
        <f aca="false">IF(BF$3=Assumptions!$F$87,Assumptions!$F$88,0)</f>
        <v>0</v>
      </c>
      <c r="BG64" s="26" t="n">
        <f aca="false">IF(BG$3=Assumptions!$F$87,Assumptions!$F$88,0)</f>
        <v>0</v>
      </c>
      <c r="BH64" s="26" t="n">
        <f aca="false">IF(BH$3=Assumptions!$F$87,Assumptions!$F$88,0)</f>
        <v>0</v>
      </c>
      <c r="BI64" s="26" t="n">
        <f aca="false">IF(BI$3=Assumptions!$F$87,Assumptions!$F$88,0)</f>
        <v>0</v>
      </c>
      <c r="BJ64" s="26" t="n">
        <f aca="false">IF(BJ$3=Assumptions!$F$87,Assumptions!$F$88,0)</f>
        <v>0</v>
      </c>
    </row>
    <row r="65" customFormat="false" ht="15" hidden="false" customHeight="false" outlineLevel="0" collapsed="false">
      <c r="A65" s="9" t="s">
        <v>238</v>
      </c>
      <c r="B65" s="9"/>
      <c r="C65" s="26" t="n">
        <f aca="false">0</f>
        <v>0</v>
      </c>
      <c r="D65" s="26" t="n">
        <f aca="false">C68</f>
        <v>0</v>
      </c>
      <c r="E65" s="26" t="n">
        <f aca="false">D68</f>
        <v>0</v>
      </c>
      <c r="F65" s="26" t="n">
        <f aca="false">E68</f>
        <v>120000</v>
      </c>
      <c r="G65" s="26" t="n">
        <f aca="false">F68</f>
        <v>120000</v>
      </c>
      <c r="H65" s="26" t="n">
        <f aca="false">G68</f>
        <v>120000</v>
      </c>
      <c r="I65" s="26" t="n">
        <f aca="false">H68</f>
        <v>120000</v>
      </c>
      <c r="J65" s="26" t="n">
        <f aca="false">I68</f>
        <v>120000</v>
      </c>
      <c r="K65" s="26" t="n">
        <f aca="false">J68</f>
        <v>120000</v>
      </c>
      <c r="L65" s="26" t="n">
        <f aca="false">K68</f>
        <v>120000</v>
      </c>
      <c r="M65" s="26" t="n">
        <f aca="false">L68</f>
        <v>117617.145618627</v>
      </c>
      <c r="N65" s="26" t="n">
        <f aca="false">M68</f>
        <v>115190.605573595</v>
      </c>
      <c r="O65" s="26" t="n">
        <f aca="false">N68</f>
        <v>112719.578961071</v>
      </c>
      <c r="P65" s="26" t="n">
        <f aca="false">O68</f>
        <v>110203.250193984</v>
      </c>
      <c r="Q65" s="26" t="n">
        <f aca="false">P68</f>
        <v>107640.788732834</v>
      </c>
      <c r="R65" s="26" t="n">
        <f aca="false">Q68</f>
        <v>105031.348811563</v>
      </c>
      <c r="S65" s="26" t="n">
        <f aca="false">R68</f>
        <v>102374.069158402</v>
      </c>
      <c r="T65" s="26" t="n">
        <f aca="false">S68</f>
        <v>99668.0727115996</v>
      </c>
      <c r="U65" s="26" t="n">
        <f aca="false">T68</f>
        <v>96912.4663299392</v>
      </c>
      <c r="V65" s="26" t="n">
        <f aca="false">U68</f>
        <v>94106.3404979482</v>
      </c>
      <c r="W65" s="26" t="n">
        <f aca="false">V68</f>
        <v>91248.7690257042</v>
      </c>
      <c r="X65" s="26" t="n">
        <f aca="false">W68</f>
        <v>88338.8087431356</v>
      </c>
      <c r="Y65" s="26" t="n">
        <f aca="false">X68</f>
        <v>85375.4991887199</v>
      </c>
      <c r="Z65" s="26" t="n">
        <f aca="false">Y68</f>
        <v>82357.8622924733</v>
      </c>
      <c r="AA65" s="26" t="n">
        <f aca="false">Z68</f>
        <v>79284.9020531289</v>
      </c>
      <c r="AB65" s="26" t="n">
        <f aca="false">AA68</f>
        <v>76155.6042093964</v>
      </c>
      <c r="AC65" s="26" t="n">
        <f aca="false">AB68</f>
        <v>72968.9359051956</v>
      </c>
      <c r="AD65" s="26" t="n">
        <f aca="false">AC68</f>
        <v>69723.845348751</v>
      </c>
      <c r="AE65" s="26" t="n">
        <f aca="false">AD68</f>
        <v>66419.2614654383</v>
      </c>
      <c r="AF65" s="26" t="n">
        <f aca="false">AE68</f>
        <v>63054.0935442649</v>
      </c>
      <c r="AG65" s="26" t="n">
        <f aca="false">AF68</f>
        <v>59627.2308778699</v>
      </c>
      <c r="AH65" s="26" t="n">
        <f aca="false">AG68</f>
        <v>56137.5423959244</v>
      </c>
      <c r="AI65" s="26" t="n">
        <f aca="false">AH68</f>
        <v>52583.8762918099</v>
      </c>
      <c r="AJ65" s="26" t="n">
        <f aca="false">AI68</f>
        <v>48965.0596424532</v>
      </c>
      <c r="AK65" s="26" t="n">
        <f aca="false">AJ68</f>
        <v>45279.8980211917</v>
      </c>
      <c r="AL65" s="26" t="n">
        <f aca="false">AK68</f>
        <v>41527.1751035404</v>
      </c>
      <c r="AM65" s="26" t="n">
        <f aca="false">AL68</f>
        <v>37705.6522657322</v>
      </c>
      <c r="AN65" s="26" t="n">
        <f aca="false">AM68</f>
        <v>33814.0681758975</v>
      </c>
      <c r="AO65" s="26" t="n">
        <f aca="false">AN68</f>
        <v>29851.1383777491</v>
      </c>
      <c r="AP65" s="26" t="n">
        <f aca="false">AO68</f>
        <v>25815.5548666347</v>
      </c>
      <c r="AQ65" s="26" t="n">
        <f aca="false">AP68</f>
        <v>21705.9856578166</v>
      </c>
      <c r="AR65" s="26" t="n">
        <f aca="false">AQ68</f>
        <v>17521.0743468367</v>
      </c>
      <c r="AS65" s="26" t="n">
        <f aca="false">AR68</f>
        <v>13259.4396618223</v>
      </c>
      <c r="AT65" s="26" t="n">
        <f aca="false">AS68</f>
        <v>8919.67500758254</v>
      </c>
      <c r="AU65" s="26" t="n">
        <f aca="false">AT68</f>
        <v>4500.34800134842</v>
      </c>
      <c r="AV65" s="26" t="n">
        <f aca="false">AU68</f>
        <v>0</v>
      </c>
      <c r="AW65" s="26" t="n">
        <f aca="false">AV68</f>
        <v>0</v>
      </c>
      <c r="AX65" s="26" t="n">
        <f aca="false">AW68</f>
        <v>0</v>
      </c>
      <c r="AY65" s="26" t="n">
        <f aca="false">AX68</f>
        <v>0</v>
      </c>
      <c r="AZ65" s="26" t="n">
        <f aca="false">AY68</f>
        <v>0</v>
      </c>
      <c r="BA65" s="26" t="n">
        <f aca="false">AZ68</f>
        <v>0</v>
      </c>
      <c r="BB65" s="26" t="n">
        <f aca="false">BA68</f>
        <v>0</v>
      </c>
      <c r="BC65" s="26" t="n">
        <f aca="false">BB68</f>
        <v>0</v>
      </c>
      <c r="BD65" s="26" t="n">
        <f aca="false">BC68</f>
        <v>0</v>
      </c>
      <c r="BE65" s="26" t="n">
        <f aca="false">BD68</f>
        <v>0</v>
      </c>
      <c r="BF65" s="26" t="n">
        <f aca="false">BE68</f>
        <v>0</v>
      </c>
      <c r="BG65" s="26" t="n">
        <f aca="false">BF68</f>
        <v>0</v>
      </c>
      <c r="BH65" s="26" t="n">
        <f aca="false">BG68</f>
        <v>0</v>
      </c>
      <c r="BI65" s="26" t="n">
        <f aca="false">BH68</f>
        <v>0</v>
      </c>
      <c r="BJ65" s="26" t="n">
        <f aca="false">BI68</f>
        <v>0</v>
      </c>
    </row>
    <row r="66" customFormat="false" ht="15" hidden="false" customHeight="false" outlineLevel="0" collapsed="false">
      <c r="A66" s="9" t="s">
        <v>239</v>
      </c>
      <c r="B66" s="9"/>
      <c r="C66" s="26" t="n">
        <f aca="false">C65*Assumptions!$F$89/12</f>
        <v>0</v>
      </c>
      <c r="D66" s="26" t="n">
        <f aca="false">D65*Assumptions!$F$89/12</f>
        <v>0</v>
      </c>
      <c r="E66" s="26" t="n">
        <f aca="false">E65*Assumptions!$F$89/12</f>
        <v>0</v>
      </c>
      <c r="F66" s="26" t="n">
        <f aca="false">F65*Assumptions!$F$89/12</f>
        <v>2200</v>
      </c>
      <c r="G66" s="26" t="n">
        <f aca="false">G65*Assumptions!$F$89/12</f>
        <v>2200</v>
      </c>
      <c r="H66" s="26" t="n">
        <f aca="false">H65*Assumptions!$F$89/12</f>
        <v>2200</v>
      </c>
      <c r="I66" s="26" t="n">
        <f aca="false">I65*Assumptions!$F$89/12</f>
        <v>2200</v>
      </c>
      <c r="J66" s="26" t="n">
        <f aca="false">J65*Assumptions!$F$89/12</f>
        <v>2200</v>
      </c>
      <c r="K66" s="26" t="n">
        <f aca="false">K65*Assumptions!$F$89/12</f>
        <v>2200</v>
      </c>
      <c r="L66" s="26" t="n">
        <f aca="false">L65*Assumptions!$F$89/12</f>
        <v>2200</v>
      </c>
      <c r="M66" s="26" t="n">
        <f aca="false">M65*Assumptions!$F$89/12</f>
        <v>2156.31433634149</v>
      </c>
      <c r="N66" s="26" t="n">
        <f aca="false">N65*Assumptions!$F$89/12</f>
        <v>2111.82776884925</v>
      </c>
      <c r="O66" s="26" t="n">
        <f aca="false">O65*Assumptions!$F$89/12</f>
        <v>2066.52561428631</v>
      </c>
      <c r="P66" s="26" t="n">
        <f aca="false">P65*Assumptions!$F$89/12</f>
        <v>2020.39292022305</v>
      </c>
      <c r="Q66" s="26" t="n">
        <f aca="false">Q65*Assumptions!$F$89/12</f>
        <v>1973.41446010196</v>
      </c>
      <c r="R66" s="26" t="n">
        <f aca="false">R65*Assumptions!$F$89/12</f>
        <v>1925.57472821199</v>
      </c>
      <c r="S66" s="26" t="n">
        <f aca="false">S65*Assumptions!$F$89/12</f>
        <v>1876.8579345707</v>
      </c>
      <c r="T66" s="26" t="n">
        <f aca="false">T65*Assumptions!$F$89/12</f>
        <v>1827.24799971266</v>
      </c>
      <c r="U66" s="26" t="n">
        <f aca="false">U65*Assumptions!$F$89/12</f>
        <v>1776.72854938222</v>
      </c>
      <c r="V66" s="26" t="n">
        <f aca="false">V65*Assumptions!$F$89/12</f>
        <v>1725.28290912905</v>
      </c>
      <c r="W66" s="26" t="n">
        <f aca="false">W65*Assumptions!$F$89/12</f>
        <v>1672.89409880458</v>
      </c>
      <c r="X66" s="26" t="n">
        <f aca="false">X65*Assumptions!$F$89/12</f>
        <v>1619.54482695749</v>
      </c>
      <c r="Y66" s="26" t="n">
        <f aca="false">Y65*Assumptions!$F$89/12</f>
        <v>1565.21748512653</v>
      </c>
      <c r="Z66" s="26" t="n">
        <f aca="false">Z65*Assumptions!$F$89/12</f>
        <v>1509.89414202868</v>
      </c>
      <c r="AA66" s="26" t="n">
        <f aca="false">AA65*Assumptions!$F$89/12</f>
        <v>1453.5565376407</v>
      </c>
      <c r="AB66" s="26" t="n">
        <f aca="false">AB65*Assumptions!$F$89/12</f>
        <v>1396.18607717227</v>
      </c>
      <c r="AC66" s="26" t="n">
        <f aca="false">AC65*Assumptions!$F$89/12</f>
        <v>1337.76382492859</v>
      </c>
      <c r="AD66" s="26" t="n">
        <f aca="false">AD65*Assumptions!$F$89/12</f>
        <v>1278.27049806044</v>
      </c>
      <c r="AE66" s="26" t="n">
        <f aca="false">AE65*Assumptions!$F$89/12</f>
        <v>1217.6864601997</v>
      </c>
      <c r="AF66" s="26" t="n">
        <f aca="false">AF65*Assumptions!$F$89/12</f>
        <v>1155.99171497819</v>
      </c>
      <c r="AG66" s="26" t="n">
        <f aca="false">AG65*Assumptions!$F$89/12</f>
        <v>1093.16589942762</v>
      </c>
      <c r="AH66" s="26" t="n">
        <f aca="false">AH65*Assumptions!$F$89/12</f>
        <v>1029.18827725861</v>
      </c>
      <c r="AI66" s="26" t="n">
        <f aca="false">AI65*Assumptions!$F$89/12</f>
        <v>964.037732016514</v>
      </c>
      <c r="AJ66" s="26" t="n">
        <f aca="false">AJ65*Assumptions!$F$89/12</f>
        <v>897.692760111643</v>
      </c>
      <c r="AK66" s="26" t="n">
        <f aca="false">AK65*Assumptions!$F$89/12</f>
        <v>830.131463721849</v>
      </c>
      <c r="AL66" s="26" t="n">
        <f aca="false">AL65*Assumptions!$F$89/12</f>
        <v>761.331543564908</v>
      </c>
      <c r="AM66" s="26" t="n">
        <f aca="false">AM65*Assumptions!$F$89/12</f>
        <v>691.270291538424</v>
      </c>
      <c r="AN66" s="26" t="n">
        <f aca="false">AN65*Assumptions!$F$89/12</f>
        <v>619.924583224787</v>
      </c>
      <c r="AO66" s="26" t="n">
        <f aca="false">AO65*Assumptions!$F$89/12</f>
        <v>547.270870258734</v>
      </c>
      <c r="AP66" s="26" t="n">
        <f aca="false">AP65*Assumptions!$F$89/12</f>
        <v>473.28517255497</v>
      </c>
      <c r="AQ66" s="26" t="n">
        <f aca="false">AQ65*Assumptions!$F$89/12</f>
        <v>397.943070393304</v>
      </c>
      <c r="AR66" s="26" t="n">
        <f aca="false">AR65*Assumptions!$F$89/12</f>
        <v>321.219696358674</v>
      </c>
      <c r="AS66" s="26" t="n">
        <f aca="false">AS65*Assumptions!$F$89/12</f>
        <v>243.089727133408</v>
      </c>
      <c r="AT66" s="26" t="n">
        <f aca="false">AT65*Assumptions!$F$89/12</f>
        <v>163.527375139013</v>
      </c>
      <c r="AU66" s="26" t="n">
        <f aca="false">AU65*Assumptions!$F$89/12</f>
        <v>82.506380024721</v>
      </c>
      <c r="AV66" s="26" t="n">
        <f aca="false">AV65*Assumptions!$F$89/12</f>
        <v>0</v>
      </c>
      <c r="AW66" s="26" t="n">
        <f aca="false">AW65*Assumptions!$F$89/12</f>
        <v>0</v>
      </c>
      <c r="AX66" s="26" t="n">
        <f aca="false">AX65*Assumptions!$F$89/12</f>
        <v>0</v>
      </c>
      <c r="AY66" s="26" t="n">
        <f aca="false">AY65*Assumptions!$F$89/12</f>
        <v>0</v>
      </c>
      <c r="AZ66" s="26" t="n">
        <f aca="false">AZ65*Assumptions!$F$89/12</f>
        <v>0</v>
      </c>
      <c r="BA66" s="26" t="n">
        <f aca="false">BA65*Assumptions!$F$89/12</f>
        <v>0</v>
      </c>
      <c r="BB66" s="26" t="n">
        <f aca="false">BB65*Assumptions!$F$89/12</f>
        <v>0</v>
      </c>
      <c r="BC66" s="26" t="n">
        <f aca="false">BC65*Assumptions!$F$89/12</f>
        <v>0</v>
      </c>
      <c r="BD66" s="26" t="n">
        <f aca="false">BD65*Assumptions!$F$89/12</f>
        <v>0</v>
      </c>
      <c r="BE66" s="26" t="n">
        <f aca="false">BE65*Assumptions!$F$89/12</f>
        <v>0</v>
      </c>
      <c r="BF66" s="26" t="n">
        <f aca="false">BF65*Assumptions!$F$89/12</f>
        <v>0</v>
      </c>
      <c r="BG66" s="26" t="n">
        <f aca="false">BG65*Assumptions!$F$89/12</f>
        <v>0</v>
      </c>
      <c r="BH66" s="26" t="n">
        <f aca="false">BH65*Assumptions!$F$89/12</f>
        <v>0</v>
      </c>
      <c r="BI66" s="26" t="n">
        <f aca="false">BI65*Assumptions!$F$89/12</f>
        <v>0</v>
      </c>
      <c r="BJ66" s="26" t="n">
        <f aca="false">BJ65*Assumptions!$F$89/12</f>
        <v>0</v>
      </c>
    </row>
    <row r="67" customFormat="false" ht="15" hidden="false" customHeight="false" outlineLevel="0" collapsed="false">
      <c r="A67" s="9" t="s">
        <v>240</v>
      </c>
      <c r="B67" s="9"/>
      <c r="C67" s="26" t="n">
        <f aca="false">IF(AND(C$3&gt;Assumptions!$F$87+Assumptions!$F$90,C$3&lt;=Assumptions!$F$87+Assumptions!$F$90+Assumptions!$F$91),MIN(C65,Assumptions!$F$92-C66),0)</f>
        <v>0</v>
      </c>
      <c r="D67" s="26" t="n">
        <f aca="false">IF(AND(D$3&gt;Assumptions!$F$87+Assumptions!$F$90,D$3&lt;=Assumptions!$F$87+Assumptions!$F$90+Assumptions!$F$91),MIN(D65,Assumptions!$F$92-D66),0)</f>
        <v>0</v>
      </c>
      <c r="E67" s="26" t="n">
        <f aca="false">IF(AND(E$3&gt;Assumptions!$F$87+Assumptions!$F$90,E$3&lt;=Assumptions!$F$87+Assumptions!$F$90+Assumptions!$F$91),MIN(E65,Assumptions!$F$92-E66),0)</f>
        <v>0</v>
      </c>
      <c r="F67" s="26" t="n">
        <f aca="false">IF(AND(F$3&gt;Assumptions!$F$87+Assumptions!$F$90,F$3&lt;=Assumptions!$F$87+Assumptions!$F$90+Assumptions!$F$91),MIN(F65,Assumptions!$F$92-F66),0)</f>
        <v>0</v>
      </c>
      <c r="G67" s="26" t="n">
        <f aca="false">IF(AND(G$3&gt;Assumptions!$F$87+Assumptions!$F$90,G$3&lt;=Assumptions!$F$87+Assumptions!$F$90+Assumptions!$F$91),MIN(G65,Assumptions!$F$92-G66),0)</f>
        <v>0</v>
      </c>
      <c r="H67" s="26" t="n">
        <f aca="false">IF(AND(H$3&gt;Assumptions!$F$87+Assumptions!$F$90,H$3&lt;=Assumptions!$F$87+Assumptions!$F$90+Assumptions!$F$91),MIN(H65,Assumptions!$F$92-H66),0)</f>
        <v>0</v>
      </c>
      <c r="I67" s="26" t="n">
        <f aca="false">IF(AND(I$3&gt;Assumptions!$F$87+Assumptions!$F$90,I$3&lt;=Assumptions!$F$87+Assumptions!$F$90+Assumptions!$F$91),MIN(I65,Assumptions!$F$92-I66),0)</f>
        <v>0</v>
      </c>
      <c r="J67" s="26" t="n">
        <f aca="false">IF(AND(J$3&gt;Assumptions!$F$87+Assumptions!$F$90,J$3&lt;=Assumptions!$F$87+Assumptions!$F$90+Assumptions!$F$91),MIN(J65,Assumptions!$F$92-J66),0)</f>
        <v>0</v>
      </c>
      <c r="K67" s="26" t="n">
        <f aca="false">IF(AND(K$3&gt;Assumptions!$F$87+Assumptions!$F$90,K$3&lt;=Assumptions!$F$87+Assumptions!$F$90+Assumptions!$F$91),MIN(K65,Assumptions!$F$92-K66),0)</f>
        <v>0</v>
      </c>
      <c r="L67" s="26" t="n">
        <f aca="false">IF(AND(L$3&gt;Assumptions!$F$87+Assumptions!$F$90,L$3&lt;=Assumptions!$F$87+Assumptions!$F$90+Assumptions!$F$91),MIN(L65,Assumptions!$F$92-L66),0)</f>
        <v>2382.85438137314</v>
      </c>
      <c r="M67" s="26" t="n">
        <f aca="false">IF(AND(M$3&gt;Assumptions!$F$87+Assumptions!$F$90,M$3&lt;=Assumptions!$F$87+Assumptions!$F$90+Assumptions!$F$91),MIN(M65,Assumptions!$F$92-M66),0)</f>
        <v>2426.54004503165</v>
      </c>
      <c r="N67" s="26" t="n">
        <f aca="false">IF(AND(N$3&gt;Assumptions!$F$87+Assumptions!$F$90,N$3&lt;=Assumptions!$F$87+Assumptions!$F$90+Assumptions!$F$91),MIN(N65,Assumptions!$F$92-N66),0)</f>
        <v>2471.02661252389</v>
      </c>
      <c r="O67" s="26" t="n">
        <f aca="false">IF(AND(O$3&gt;Assumptions!$F$87+Assumptions!$F$90,O$3&lt;=Assumptions!$F$87+Assumptions!$F$90+Assumptions!$F$91),MIN(O65,Assumptions!$F$92-O66),0)</f>
        <v>2516.32876708683</v>
      </c>
      <c r="P67" s="26" t="n">
        <f aca="false">IF(AND(P$3&gt;Assumptions!$F$87+Assumptions!$F$90,P$3&lt;=Assumptions!$F$87+Assumptions!$F$90+Assumptions!$F$91),MIN(P65,Assumptions!$F$92-P66),0)</f>
        <v>2562.46146115009</v>
      </c>
      <c r="Q67" s="26" t="n">
        <f aca="false">IF(AND(Q$3&gt;Assumptions!$F$87+Assumptions!$F$90,Q$3&lt;=Assumptions!$F$87+Assumptions!$F$90+Assumptions!$F$91),MIN(Q65,Assumptions!$F$92-Q66),0)</f>
        <v>2609.43992127117</v>
      </c>
      <c r="R67" s="26" t="n">
        <f aca="false">IF(AND(R$3&gt;Assumptions!$F$87+Assumptions!$F$90,R$3&lt;=Assumptions!$F$87+Assumptions!$F$90+Assumptions!$F$91),MIN(R65,Assumptions!$F$92-R66),0)</f>
        <v>2657.27965316115</v>
      </c>
      <c r="S67" s="26" t="n">
        <f aca="false">IF(AND(S$3&gt;Assumptions!$F$87+Assumptions!$F$90,S$3&lt;=Assumptions!$F$87+Assumptions!$F$90+Assumptions!$F$91),MIN(S65,Assumptions!$F$92-S66),0)</f>
        <v>2705.99644680243</v>
      </c>
      <c r="T67" s="26" t="n">
        <f aca="false">IF(AND(T$3&gt;Assumptions!$F$87+Assumptions!$F$90,T$3&lt;=Assumptions!$F$87+Assumptions!$F$90+Assumptions!$F$91),MIN(T65,Assumptions!$F$92-T66),0)</f>
        <v>2755.60638166048</v>
      </c>
      <c r="U67" s="26" t="n">
        <f aca="false">IF(AND(U$3&gt;Assumptions!$F$87+Assumptions!$F$90,U$3&lt;=Assumptions!$F$87+Assumptions!$F$90+Assumptions!$F$91),MIN(U65,Assumptions!$F$92-U66),0)</f>
        <v>2806.12583199092</v>
      </c>
      <c r="V67" s="26" t="n">
        <f aca="false">IF(AND(V$3&gt;Assumptions!$F$87+Assumptions!$F$90,V$3&lt;=Assumptions!$F$87+Assumptions!$F$90+Assumptions!$F$91),MIN(V65,Assumptions!$F$92-V66),0)</f>
        <v>2857.57147224409</v>
      </c>
      <c r="W67" s="26" t="n">
        <f aca="false">IF(AND(W$3&gt;Assumptions!$F$87+Assumptions!$F$90,W$3&lt;=Assumptions!$F$87+Assumptions!$F$90+Assumptions!$F$91),MIN(W65,Assumptions!$F$92-W66),0)</f>
        <v>2909.96028256856</v>
      </c>
      <c r="X67" s="26" t="n">
        <f aca="false">IF(AND(X$3&gt;Assumptions!$F$87+Assumptions!$F$90,X$3&lt;=Assumptions!$F$87+Assumptions!$F$90+Assumptions!$F$91),MIN(X65,Assumptions!$F$92-X66),0)</f>
        <v>2963.30955441565</v>
      </c>
      <c r="Y67" s="26" t="n">
        <f aca="false">IF(AND(Y$3&gt;Assumptions!$F$87+Assumptions!$F$90,Y$3&lt;=Assumptions!$F$87+Assumptions!$F$90+Assumptions!$F$91),MIN(Y65,Assumptions!$F$92-Y66),0)</f>
        <v>3017.63689624661</v>
      </c>
      <c r="Z67" s="26" t="n">
        <f aca="false">IF(AND(Z$3&gt;Assumptions!$F$87+Assumptions!$F$90,Z$3&lt;=Assumptions!$F$87+Assumptions!$F$90+Assumptions!$F$91),MIN(Z65,Assumptions!$F$92-Z66),0)</f>
        <v>3072.96023934446</v>
      </c>
      <c r="AA67" s="26" t="n">
        <f aca="false">IF(AND(AA$3&gt;Assumptions!$F$87+Assumptions!$F$90,AA$3&lt;=Assumptions!$F$87+Assumptions!$F$90+Assumptions!$F$91),MIN(AA65,Assumptions!$F$92-AA66),0)</f>
        <v>3129.29784373244</v>
      </c>
      <c r="AB67" s="26" t="n">
        <f aca="false">IF(AND(AB$3&gt;Assumptions!$F$87+Assumptions!$F$90,AB$3&lt;=Assumptions!$F$87+Assumptions!$F$90+Assumptions!$F$91),MIN(AB65,Assumptions!$F$92-AB66),0)</f>
        <v>3186.66830420087</v>
      </c>
      <c r="AC67" s="26" t="n">
        <f aca="false">IF(AND(AC$3&gt;Assumptions!$F$87+Assumptions!$F$90,AC$3&lt;=Assumptions!$F$87+Assumptions!$F$90+Assumptions!$F$91),MIN(AC65,Assumptions!$F$92-AC66),0)</f>
        <v>3245.09055644455</v>
      </c>
      <c r="AD67" s="26" t="n">
        <f aca="false">IF(AND(AD$3&gt;Assumptions!$F$87+Assumptions!$F$90,AD$3&lt;=Assumptions!$F$87+Assumptions!$F$90+Assumptions!$F$91),MIN(AD65,Assumptions!$F$92-AD66),0)</f>
        <v>3304.5838833127</v>
      </c>
      <c r="AE67" s="26" t="n">
        <f aca="false">IF(AND(AE$3&gt;Assumptions!$F$87+Assumptions!$F$90,AE$3&lt;=Assumptions!$F$87+Assumptions!$F$90+Assumptions!$F$91),MIN(AE65,Assumptions!$F$92-AE66),0)</f>
        <v>3365.16792117344</v>
      </c>
      <c r="AF67" s="26" t="n">
        <f aca="false">IF(AND(AF$3&gt;Assumptions!$F$87+Assumptions!$F$90,AF$3&lt;=Assumptions!$F$87+Assumptions!$F$90+Assumptions!$F$91),MIN(AF65,Assumptions!$F$92-AF66),0)</f>
        <v>3426.86266639495</v>
      </c>
      <c r="AG67" s="26" t="n">
        <f aca="false">IF(AND(AG$3&gt;Assumptions!$F$87+Assumptions!$F$90,AG$3&lt;=Assumptions!$F$87+Assumptions!$F$90+Assumptions!$F$91),MIN(AG65,Assumptions!$F$92-AG66),0)</f>
        <v>3489.68848194552</v>
      </c>
      <c r="AH67" s="26" t="n">
        <f aca="false">IF(AND(AH$3&gt;Assumptions!$F$87+Assumptions!$F$90,AH$3&lt;=Assumptions!$F$87+Assumptions!$F$90+Assumptions!$F$91),MIN(AH65,Assumptions!$F$92-AH66),0)</f>
        <v>3553.66610411452</v>
      </c>
      <c r="AI67" s="26" t="n">
        <f aca="false">IF(AND(AI$3&gt;Assumptions!$F$87+Assumptions!$F$90,AI$3&lt;=Assumptions!$F$87+Assumptions!$F$90+Assumptions!$F$91),MIN(AI65,Assumptions!$F$92-AI66),0)</f>
        <v>3618.81664935662</v>
      </c>
      <c r="AJ67" s="26" t="n">
        <f aca="false">IF(AND(AJ$3&gt;Assumptions!$F$87+Assumptions!$F$90,AJ$3&lt;=Assumptions!$F$87+Assumptions!$F$90+Assumptions!$F$91),MIN(AJ65,Assumptions!$F$92-AJ66),0)</f>
        <v>3685.1616212615</v>
      </c>
      <c r="AK67" s="26" t="n">
        <f aca="false">IF(AND(AK$3&gt;Assumptions!$F$87+Assumptions!$F$90,AK$3&lt;=Assumptions!$F$87+Assumptions!$F$90+Assumptions!$F$91),MIN(AK65,Assumptions!$F$92-AK66),0)</f>
        <v>3752.72291765129</v>
      </c>
      <c r="AL67" s="26" t="n">
        <f aca="false">IF(AND(AL$3&gt;Assumptions!$F$87+Assumptions!$F$90,AL$3&lt;=Assumptions!$F$87+Assumptions!$F$90+Assumptions!$F$91),MIN(AL65,Assumptions!$F$92-AL66),0)</f>
        <v>3821.52283780823</v>
      </c>
      <c r="AM67" s="26" t="n">
        <f aca="false">IF(AND(AM$3&gt;Assumptions!$F$87+Assumptions!$F$90,AM$3&lt;=Assumptions!$F$87+Assumptions!$F$90+Assumptions!$F$91),MIN(AM65,Assumptions!$F$92-AM66),0)</f>
        <v>3891.58408983471</v>
      </c>
      <c r="AN67" s="26" t="n">
        <f aca="false">IF(AND(AN$3&gt;Assumptions!$F$87+Assumptions!$F$90,AN$3&lt;=Assumptions!$F$87+Assumptions!$F$90+Assumptions!$F$91),MIN(AN65,Assumptions!$F$92-AN66),0)</f>
        <v>3962.92979814835</v>
      </c>
      <c r="AO67" s="26" t="n">
        <f aca="false">IF(AND(AO$3&gt;Assumptions!$F$87+Assumptions!$F$90,AO$3&lt;=Assumptions!$F$87+Assumptions!$F$90+Assumptions!$F$91),MIN(AO65,Assumptions!$F$92-AO66),0)</f>
        <v>4035.5835111144</v>
      </c>
      <c r="AP67" s="26" t="n">
        <f aca="false">IF(AND(AP$3&gt;Assumptions!$F$87+Assumptions!$F$90,AP$3&lt;=Assumptions!$F$87+Assumptions!$F$90+Assumptions!$F$91),MIN(AP65,Assumptions!$F$92-AP66),0)</f>
        <v>4109.56920881817</v>
      </c>
      <c r="AQ67" s="26" t="n">
        <f aca="false">IF(AND(AQ$3&gt;Assumptions!$F$87+Assumptions!$F$90,AQ$3&lt;=Assumptions!$F$87+Assumptions!$F$90+Assumptions!$F$91),MIN(AQ65,Assumptions!$F$92-AQ66),0)</f>
        <v>4184.91131097983</v>
      </c>
      <c r="AR67" s="26" t="n">
        <f aca="false">IF(AND(AR$3&gt;Assumptions!$F$87+Assumptions!$F$90,AR$3&lt;=Assumptions!$F$87+Assumptions!$F$90+Assumptions!$F$91),MIN(AR65,Assumptions!$F$92-AR66),0)</f>
        <v>4261.63468501447</v>
      </c>
      <c r="AS67" s="26" t="n">
        <f aca="false">IF(AND(AS$3&gt;Assumptions!$F$87+Assumptions!$F$90,AS$3&lt;=Assumptions!$F$87+Assumptions!$F$90+Assumptions!$F$91),MIN(AS65,Assumptions!$F$92-AS66),0)</f>
        <v>4339.76465423973</v>
      </c>
      <c r="AT67" s="26" t="n">
        <f aca="false">IF(AND(AT$3&gt;Assumptions!$F$87+Assumptions!$F$90,AT$3&lt;=Assumptions!$F$87+Assumptions!$F$90+Assumptions!$F$91),MIN(AT65,Assumptions!$F$92-AT66),0)</f>
        <v>4419.32700623413</v>
      </c>
      <c r="AU67" s="26" t="n">
        <f aca="false">IF(AND(AU$3&gt;Assumptions!$F$87+Assumptions!$F$90,AU$3&lt;=Assumptions!$F$87+Assumptions!$F$90+Assumptions!$F$91),MIN(AU65,Assumptions!$F$92-AU66),0)</f>
        <v>4500.34800134842</v>
      </c>
      <c r="AV67" s="26" t="n">
        <f aca="false">IF(AND(AV$3&gt;Assumptions!$F$87+Assumptions!$F$90,AV$3&lt;=Assumptions!$F$87+Assumptions!$F$90+Assumptions!$F$91),MIN(AV65,Assumptions!$F$92-AV66),0)</f>
        <v>0</v>
      </c>
      <c r="AW67" s="26" t="n">
        <f aca="false">IF(AND(AW$3&gt;Assumptions!$F$87+Assumptions!$F$90,AW$3&lt;=Assumptions!$F$87+Assumptions!$F$90+Assumptions!$F$91),MIN(AW65,Assumptions!$F$92-AW66),0)</f>
        <v>0</v>
      </c>
      <c r="AX67" s="26" t="n">
        <f aca="false">IF(AND(AX$3&gt;Assumptions!$F$87+Assumptions!$F$90,AX$3&lt;=Assumptions!$F$87+Assumptions!$F$90+Assumptions!$F$91),MIN(AX65,Assumptions!$F$92-AX66),0)</f>
        <v>0</v>
      </c>
      <c r="AY67" s="26" t="n">
        <f aca="false">IF(AND(AY$3&gt;Assumptions!$F$87+Assumptions!$F$90,AY$3&lt;=Assumptions!$F$87+Assumptions!$F$90+Assumptions!$F$91),MIN(AY65,Assumptions!$F$92-AY66),0)</f>
        <v>0</v>
      </c>
      <c r="AZ67" s="26" t="n">
        <f aca="false">IF(AND(AZ$3&gt;Assumptions!$F$87+Assumptions!$F$90,AZ$3&lt;=Assumptions!$F$87+Assumptions!$F$90+Assumptions!$F$91),MIN(AZ65,Assumptions!$F$92-AZ66),0)</f>
        <v>0</v>
      </c>
      <c r="BA67" s="26" t="n">
        <f aca="false">IF(AND(BA$3&gt;Assumptions!$F$87+Assumptions!$F$90,BA$3&lt;=Assumptions!$F$87+Assumptions!$F$90+Assumptions!$F$91),MIN(BA65,Assumptions!$F$92-BA66),0)</f>
        <v>0</v>
      </c>
      <c r="BB67" s="26" t="n">
        <f aca="false">IF(AND(BB$3&gt;Assumptions!$F$87+Assumptions!$F$90,BB$3&lt;=Assumptions!$F$87+Assumptions!$F$90+Assumptions!$F$91),MIN(BB65,Assumptions!$F$92-BB66),0)</f>
        <v>0</v>
      </c>
      <c r="BC67" s="26" t="n">
        <f aca="false">IF(AND(BC$3&gt;Assumptions!$F$87+Assumptions!$F$90,BC$3&lt;=Assumptions!$F$87+Assumptions!$F$90+Assumptions!$F$91),MIN(BC65,Assumptions!$F$92-BC66),0)</f>
        <v>0</v>
      </c>
      <c r="BD67" s="26" t="n">
        <f aca="false">IF(AND(BD$3&gt;Assumptions!$F$87+Assumptions!$F$90,BD$3&lt;=Assumptions!$F$87+Assumptions!$F$90+Assumptions!$F$91),MIN(BD65,Assumptions!$F$92-BD66),0)</f>
        <v>0</v>
      </c>
      <c r="BE67" s="26" t="n">
        <f aca="false">IF(AND(BE$3&gt;Assumptions!$F$87+Assumptions!$F$90,BE$3&lt;=Assumptions!$F$87+Assumptions!$F$90+Assumptions!$F$91),MIN(BE65,Assumptions!$F$92-BE66),0)</f>
        <v>0</v>
      </c>
      <c r="BF67" s="26" t="n">
        <f aca="false">IF(AND(BF$3&gt;Assumptions!$F$87+Assumptions!$F$90,BF$3&lt;=Assumptions!$F$87+Assumptions!$F$90+Assumptions!$F$91),MIN(BF65,Assumptions!$F$92-BF66),0)</f>
        <v>0</v>
      </c>
      <c r="BG67" s="26" t="n">
        <f aca="false">IF(AND(BG$3&gt;Assumptions!$F$87+Assumptions!$F$90,BG$3&lt;=Assumptions!$F$87+Assumptions!$F$90+Assumptions!$F$91),MIN(BG65,Assumptions!$F$92-BG66),0)</f>
        <v>0</v>
      </c>
      <c r="BH67" s="26" t="n">
        <f aca="false">IF(AND(BH$3&gt;Assumptions!$F$87+Assumptions!$F$90,BH$3&lt;=Assumptions!$F$87+Assumptions!$F$90+Assumptions!$F$91),MIN(BH65,Assumptions!$F$92-BH66),0)</f>
        <v>0</v>
      </c>
      <c r="BI67" s="26" t="n">
        <f aca="false">IF(AND(BI$3&gt;Assumptions!$F$87+Assumptions!$F$90,BI$3&lt;=Assumptions!$F$87+Assumptions!$F$90+Assumptions!$F$91),MIN(BI65,Assumptions!$F$92-BI66),0)</f>
        <v>0</v>
      </c>
      <c r="BJ67" s="26" t="n">
        <f aca="false">IF(AND(BJ$3&gt;Assumptions!$F$87+Assumptions!$F$90,BJ$3&lt;=Assumptions!$F$87+Assumptions!$F$90+Assumptions!$F$91),MIN(BJ65,Assumptions!$F$92-BJ66),0)</f>
        <v>0</v>
      </c>
    </row>
    <row r="68" customFormat="false" ht="15" hidden="false" customHeight="false" outlineLevel="0" collapsed="false">
      <c r="A68" s="9" t="s">
        <v>241</v>
      </c>
      <c r="B68" s="9"/>
      <c r="C68" s="26" t="n">
        <f aca="false">C65+C64-C67</f>
        <v>0</v>
      </c>
      <c r="D68" s="26" t="n">
        <f aca="false">D65+D64-D67</f>
        <v>0</v>
      </c>
      <c r="E68" s="26" t="n">
        <f aca="false">E65+E64-E67</f>
        <v>120000</v>
      </c>
      <c r="F68" s="26" t="n">
        <f aca="false">F65+F64-F67</f>
        <v>120000</v>
      </c>
      <c r="G68" s="26" t="n">
        <f aca="false">G65+G64-G67</f>
        <v>120000</v>
      </c>
      <c r="H68" s="26" t="n">
        <f aca="false">H65+H64-H67</f>
        <v>120000</v>
      </c>
      <c r="I68" s="26" t="n">
        <f aca="false">I65+I64-I67</f>
        <v>120000</v>
      </c>
      <c r="J68" s="26" t="n">
        <f aca="false">J65+J64-J67</f>
        <v>120000</v>
      </c>
      <c r="K68" s="26" t="n">
        <f aca="false">K65+K64-K67</f>
        <v>120000</v>
      </c>
      <c r="L68" s="26" t="n">
        <f aca="false">L65+L64-L67</f>
        <v>117617.145618627</v>
      </c>
      <c r="M68" s="26" t="n">
        <f aca="false">M65+M64-M67</f>
        <v>115190.605573595</v>
      </c>
      <c r="N68" s="26" t="n">
        <f aca="false">N65+N64-N67</f>
        <v>112719.578961071</v>
      </c>
      <c r="O68" s="26" t="n">
        <f aca="false">O65+O64-O67</f>
        <v>110203.250193984</v>
      </c>
      <c r="P68" s="26" t="n">
        <f aca="false">P65+P64-P67</f>
        <v>107640.788732834</v>
      </c>
      <c r="Q68" s="26" t="n">
        <f aca="false">Q65+Q64-Q67</f>
        <v>105031.348811563</v>
      </c>
      <c r="R68" s="26" t="n">
        <f aca="false">R65+R64-R67</f>
        <v>102374.069158402</v>
      </c>
      <c r="S68" s="26" t="n">
        <f aca="false">S65+S64-S67</f>
        <v>99668.0727115996</v>
      </c>
      <c r="T68" s="26" t="n">
        <f aca="false">T65+T64-T67</f>
        <v>96912.4663299392</v>
      </c>
      <c r="U68" s="26" t="n">
        <f aca="false">U65+U64-U67</f>
        <v>94106.3404979482</v>
      </c>
      <c r="V68" s="26" t="n">
        <f aca="false">V65+V64-V67</f>
        <v>91248.7690257042</v>
      </c>
      <c r="W68" s="26" t="n">
        <f aca="false">W65+W64-W67</f>
        <v>88338.8087431356</v>
      </c>
      <c r="X68" s="26" t="n">
        <f aca="false">X65+X64-X67</f>
        <v>85375.4991887199</v>
      </c>
      <c r="Y68" s="26" t="n">
        <f aca="false">Y65+Y64-Y67</f>
        <v>82357.8622924733</v>
      </c>
      <c r="Z68" s="26" t="n">
        <f aca="false">Z65+Z64-Z67</f>
        <v>79284.9020531289</v>
      </c>
      <c r="AA68" s="26" t="n">
        <f aca="false">AA65+AA64-AA67</f>
        <v>76155.6042093964</v>
      </c>
      <c r="AB68" s="26" t="n">
        <f aca="false">AB65+AB64-AB67</f>
        <v>72968.9359051956</v>
      </c>
      <c r="AC68" s="26" t="n">
        <f aca="false">AC65+AC64-AC67</f>
        <v>69723.845348751</v>
      </c>
      <c r="AD68" s="26" t="n">
        <f aca="false">AD65+AD64-AD67</f>
        <v>66419.2614654383</v>
      </c>
      <c r="AE68" s="26" t="n">
        <f aca="false">AE65+AE64-AE67</f>
        <v>63054.0935442649</v>
      </c>
      <c r="AF68" s="26" t="n">
        <f aca="false">AF65+AF64-AF67</f>
        <v>59627.2308778699</v>
      </c>
      <c r="AG68" s="26" t="n">
        <f aca="false">AG65+AG64-AG67</f>
        <v>56137.5423959244</v>
      </c>
      <c r="AH68" s="26" t="n">
        <f aca="false">AH65+AH64-AH67</f>
        <v>52583.8762918099</v>
      </c>
      <c r="AI68" s="26" t="n">
        <f aca="false">AI65+AI64-AI67</f>
        <v>48965.0596424532</v>
      </c>
      <c r="AJ68" s="26" t="n">
        <f aca="false">AJ65+AJ64-AJ67</f>
        <v>45279.8980211917</v>
      </c>
      <c r="AK68" s="26" t="n">
        <f aca="false">AK65+AK64-AK67</f>
        <v>41527.1751035404</v>
      </c>
      <c r="AL68" s="26" t="n">
        <f aca="false">AL65+AL64-AL67</f>
        <v>37705.6522657322</v>
      </c>
      <c r="AM68" s="26" t="n">
        <f aca="false">AM65+AM64-AM67</f>
        <v>33814.0681758975</v>
      </c>
      <c r="AN68" s="26" t="n">
        <f aca="false">AN65+AN64-AN67</f>
        <v>29851.1383777491</v>
      </c>
      <c r="AO68" s="26" t="n">
        <f aca="false">AO65+AO64-AO67</f>
        <v>25815.5548666347</v>
      </c>
      <c r="AP68" s="26" t="n">
        <f aca="false">AP65+AP64-AP67</f>
        <v>21705.9856578166</v>
      </c>
      <c r="AQ68" s="26" t="n">
        <f aca="false">AQ65+AQ64-AQ67</f>
        <v>17521.0743468367</v>
      </c>
      <c r="AR68" s="26" t="n">
        <f aca="false">AR65+AR64-AR67</f>
        <v>13259.4396618223</v>
      </c>
      <c r="AS68" s="26" t="n">
        <f aca="false">AS65+AS64-AS67</f>
        <v>8919.67500758254</v>
      </c>
      <c r="AT68" s="26" t="n">
        <f aca="false">AT65+AT64-AT67</f>
        <v>4500.34800134842</v>
      </c>
      <c r="AU68" s="26" t="n">
        <f aca="false">AU65+AU64-AU67</f>
        <v>0</v>
      </c>
      <c r="AV68" s="26" t="n">
        <f aca="false">AV65+AV64-AV67</f>
        <v>0</v>
      </c>
      <c r="AW68" s="26" t="n">
        <f aca="false">AW65+AW64-AW67</f>
        <v>0</v>
      </c>
      <c r="AX68" s="26" t="n">
        <f aca="false">AX65+AX64-AX67</f>
        <v>0</v>
      </c>
      <c r="AY68" s="26" t="n">
        <f aca="false">AY65+AY64-AY67</f>
        <v>0</v>
      </c>
      <c r="AZ68" s="26" t="n">
        <f aca="false">AZ65+AZ64-AZ67</f>
        <v>0</v>
      </c>
      <c r="BA68" s="26" t="n">
        <f aca="false">BA65+BA64-BA67</f>
        <v>0</v>
      </c>
      <c r="BB68" s="26" t="n">
        <f aca="false">BB65+BB64-BB67</f>
        <v>0</v>
      </c>
      <c r="BC68" s="26" t="n">
        <f aca="false">BC65+BC64-BC67</f>
        <v>0</v>
      </c>
      <c r="BD68" s="26" t="n">
        <f aca="false">BD65+BD64-BD67</f>
        <v>0</v>
      </c>
      <c r="BE68" s="26" t="n">
        <f aca="false">BE65+BE64-BE67</f>
        <v>0</v>
      </c>
      <c r="BF68" s="26" t="n">
        <f aca="false">BF65+BF64-BF67</f>
        <v>0</v>
      </c>
      <c r="BG68" s="26" t="n">
        <f aca="false">BG65+BG64-BG67</f>
        <v>0</v>
      </c>
      <c r="BH68" s="26" t="n">
        <f aca="false">BH65+BH64-BH67</f>
        <v>0</v>
      </c>
      <c r="BI68" s="26" t="n">
        <f aca="false">BI65+BI64-BI67</f>
        <v>0</v>
      </c>
      <c r="BJ68" s="26" t="n">
        <f aca="false">BJ65+BJ64-BJ67</f>
        <v>0</v>
      </c>
    </row>
    <row r="69" customFormat="false" ht="15" hidden="false" customHeight="false" outlineLevel="0" collapsed="false">
      <c r="A69" s="9" t="s">
        <v>242</v>
      </c>
      <c r="B69" s="9"/>
      <c r="C69" s="26" t="n">
        <f aca="false">IF(C$3=Assumptions!$F$84,Assumptions!$F$86,0)</f>
        <v>20000</v>
      </c>
      <c r="D69" s="26" t="n">
        <f aca="false">IF(D$3=Assumptions!$F$84,Assumptions!$F$86,0)</f>
        <v>0</v>
      </c>
      <c r="E69" s="26" t="n">
        <f aca="false">IF(E$3=Assumptions!$F$84,Assumptions!$F$86,0)</f>
        <v>0</v>
      </c>
      <c r="F69" s="26" t="n">
        <f aca="false">IF(F$3=Assumptions!$F$84,Assumptions!$F$86,0)</f>
        <v>0</v>
      </c>
      <c r="G69" s="26" t="n">
        <f aca="false">IF(G$3=Assumptions!$F$84,Assumptions!$F$86,0)</f>
        <v>0</v>
      </c>
      <c r="H69" s="26" t="n">
        <f aca="false">IF(H$3=Assumptions!$F$84,Assumptions!$F$86,0)</f>
        <v>0</v>
      </c>
      <c r="I69" s="26" t="n">
        <f aca="false">IF(I$3=Assumptions!$F$84,Assumptions!$F$86,0)</f>
        <v>0</v>
      </c>
      <c r="J69" s="26" t="n">
        <f aca="false">IF(J$3=Assumptions!$F$84,Assumptions!$F$86,0)</f>
        <v>0</v>
      </c>
      <c r="K69" s="26" t="n">
        <f aca="false">IF(K$3=Assumptions!$F$84,Assumptions!$F$86,0)</f>
        <v>0</v>
      </c>
      <c r="L69" s="26" t="n">
        <f aca="false">IF(L$3=Assumptions!$F$84,Assumptions!$F$86,0)</f>
        <v>0</v>
      </c>
      <c r="M69" s="26" t="n">
        <f aca="false">IF(M$3=Assumptions!$F$84,Assumptions!$F$86,0)</f>
        <v>0</v>
      </c>
      <c r="N69" s="26" t="n">
        <f aca="false">IF(N$3=Assumptions!$F$84,Assumptions!$F$86,0)</f>
        <v>0</v>
      </c>
      <c r="O69" s="26" t="n">
        <f aca="false">IF(O$3=Assumptions!$F$84,Assumptions!$F$86,0)</f>
        <v>0</v>
      </c>
      <c r="P69" s="26" t="n">
        <f aca="false">IF(P$3=Assumptions!$F$84,Assumptions!$F$86,0)</f>
        <v>0</v>
      </c>
      <c r="Q69" s="26" t="n">
        <f aca="false">IF(Q$3=Assumptions!$F$84,Assumptions!$F$86,0)</f>
        <v>0</v>
      </c>
      <c r="R69" s="26" t="n">
        <f aca="false">IF(R$3=Assumptions!$F$84,Assumptions!$F$86,0)</f>
        <v>0</v>
      </c>
      <c r="S69" s="26" t="n">
        <f aca="false">IF(S$3=Assumptions!$F$84,Assumptions!$F$86,0)</f>
        <v>0</v>
      </c>
      <c r="T69" s="26" t="n">
        <f aca="false">IF(T$3=Assumptions!$F$84,Assumptions!$F$86,0)</f>
        <v>0</v>
      </c>
      <c r="U69" s="26" t="n">
        <f aca="false">IF(U$3=Assumptions!$F$84,Assumptions!$F$86,0)</f>
        <v>0</v>
      </c>
      <c r="V69" s="26" t="n">
        <f aca="false">IF(V$3=Assumptions!$F$84,Assumptions!$F$86,0)</f>
        <v>0</v>
      </c>
      <c r="W69" s="26" t="n">
        <f aca="false">IF(W$3=Assumptions!$F$84,Assumptions!$F$86,0)</f>
        <v>0</v>
      </c>
      <c r="X69" s="26" t="n">
        <f aca="false">IF(X$3=Assumptions!$F$84,Assumptions!$F$86,0)</f>
        <v>0</v>
      </c>
      <c r="Y69" s="26" t="n">
        <f aca="false">IF(Y$3=Assumptions!$F$84,Assumptions!$F$86,0)</f>
        <v>0</v>
      </c>
      <c r="Z69" s="26" t="n">
        <f aca="false">IF(Z$3=Assumptions!$F$84,Assumptions!$F$86,0)</f>
        <v>0</v>
      </c>
      <c r="AA69" s="26" t="n">
        <f aca="false">IF(AA$3=Assumptions!$F$84,Assumptions!$F$86,0)</f>
        <v>0</v>
      </c>
      <c r="AB69" s="26" t="n">
        <f aca="false">IF(AB$3=Assumptions!$F$84,Assumptions!$F$86,0)</f>
        <v>0</v>
      </c>
      <c r="AC69" s="26" t="n">
        <f aca="false">IF(AC$3=Assumptions!$F$84,Assumptions!$F$86,0)</f>
        <v>0</v>
      </c>
      <c r="AD69" s="26" t="n">
        <f aca="false">IF(AD$3=Assumptions!$F$84,Assumptions!$F$86,0)</f>
        <v>0</v>
      </c>
      <c r="AE69" s="26" t="n">
        <f aca="false">IF(AE$3=Assumptions!$F$84,Assumptions!$F$86,0)</f>
        <v>0</v>
      </c>
      <c r="AF69" s="26" t="n">
        <f aca="false">IF(AF$3=Assumptions!$F$84,Assumptions!$F$86,0)</f>
        <v>0</v>
      </c>
      <c r="AG69" s="26" t="n">
        <f aca="false">IF(AG$3=Assumptions!$F$84,Assumptions!$F$86,0)</f>
        <v>0</v>
      </c>
      <c r="AH69" s="26" t="n">
        <f aca="false">IF(AH$3=Assumptions!$F$84,Assumptions!$F$86,0)</f>
        <v>0</v>
      </c>
      <c r="AI69" s="26" t="n">
        <f aca="false">IF(AI$3=Assumptions!$F$84,Assumptions!$F$86,0)</f>
        <v>0</v>
      </c>
      <c r="AJ69" s="26" t="n">
        <f aca="false">IF(AJ$3=Assumptions!$F$84,Assumptions!$F$86,0)</f>
        <v>0</v>
      </c>
      <c r="AK69" s="26" t="n">
        <f aca="false">IF(AK$3=Assumptions!$F$84,Assumptions!$F$86,0)</f>
        <v>0</v>
      </c>
      <c r="AL69" s="26" t="n">
        <f aca="false">IF(AL$3=Assumptions!$F$84,Assumptions!$F$86,0)</f>
        <v>0</v>
      </c>
      <c r="AM69" s="26" t="n">
        <f aca="false">IF(AM$3=Assumptions!$F$84,Assumptions!$F$86,0)</f>
        <v>0</v>
      </c>
      <c r="AN69" s="26" t="n">
        <f aca="false">IF(AN$3=Assumptions!$F$84,Assumptions!$F$86,0)</f>
        <v>0</v>
      </c>
      <c r="AO69" s="26" t="n">
        <f aca="false">IF(AO$3=Assumptions!$F$84,Assumptions!$F$86,0)</f>
        <v>0</v>
      </c>
      <c r="AP69" s="26" t="n">
        <f aca="false">IF(AP$3=Assumptions!$F$84,Assumptions!$F$86,0)</f>
        <v>0</v>
      </c>
      <c r="AQ69" s="26" t="n">
        <f aca="false">IF(AQ$3=Assumptions!$F$84,Assumptions!$F$86,0)</f>
        <v>0</v>
      </c>
      <c r="AR69" s="26" t="n">
        <f aca="false">IF(AR$3=Assumptions!$F$84,Assumptions!$F$86,0)</f>
        <v>0</v>
      </c>
      <c r="AS69" s="26" t="n">
        <f aca="false">IF(AS$3=Assumptions!$F$84,Assumptions!$F$86,0)</f>
        <v>0</v>
      </c>
      <c r="AT69" s="26" t="n">
        <f aca="false">IF(AT$3=Assumptions!$F$84,Assumptions!$F$86,0)</f>
        <v>0</v>
      </c>
      <c r="AU69" s="26" t="n">
        <f aca="false">IF(AU$3=Assumptions!$F$84,Assumptions!$F$86,0)</f>
        <v>0</v>
      </c>
      <c r="AV69" s="26" t="n">
        <f aca="false">IF(AV$3=Assumptions!$F$84,Assumptions!$F$86,0)</f>
        <v>0</v>
      </c>
      <c r="AW69" s="26" t="n">
        <f aca="false">IF(AW$3=Assumptions!$F$84,Assumptions!$F$86,0)</f>
        <v>0</v>
      </c>
      <c r="AX69" s="26" t="n">
        <f aca="false">IF(AX$3=Assumptions!$F$84,Assumptions!$F$86,0)</f>
        <v>0</v>
      </c>
      <c r="AY69" s="26" t="n">
        <f aca="false">IF(AY$3=Assumptions!$F$84,Assumptions!$F$86,0)</f>
        <v>0</v>
      </c>
      <c r="AZ69" s="26" t="n">
        <f aca="false">IF(AZ$3=Assumptions!$F$84,Assumptions!$F$86,0)</f>
        <v>0</v>
      </c>
      <c r="BA69" s="26" t="n">
        <f aca="false">IF(BA$3=Assumptions!$F$84,Assumptions!$F$86,0)</f>
        <v>0</v>
      </c>
      <c r="BB69" s="26" t="n">
        <f aca="false">IF(BB$3=Assumptions!$F$84,Assumptions!$F$86,0)</f>
        <v>0</v>
      </c>
      <c r="BC69" s="26" t="n">
        <f aca="false">IF(BC$3=Assumptions!$F$84,Assumptions!$F$86,0)</f>
        <v>0</v>
      </c>
      <c r="BD69" s="26" t="n">
        <f aca="false">IF(BD$3=Assumptions!$F$84,Assumptions!$F$86,0)</f>
        <v>0</v>
      </c>
      <c r="BE69" s="26" t="n">
        <f aca="false">IF(BE$3=Assumptions!$F$84,Assumptions!$F$86,0)</f>
        <v>0</v>
      </c>
      <c r="BF69" s="26" t="n">
        <f aca="false">IF(BF$3=Assumptions!$F$84,Assumptions!$F$86,0)</f>
        <v>0</v>
      </c>
      <c r="BG69" s="26" t="n">
        <f aca="false">IF(BG$3=Assumptions!$F$84,Assumptions!$F$86,0)</f>
        <v>0</v>
      </c>
      <c r="BH69" s="26" t="n">
        <f aca="false">IF(BH$3=Assumptions!$F$84,Assumptions!$F$86,0)</f>
        <v>0</v>
      </c>
      <c r="BI69" s="26" t="n">
        <f aca="false">IF(BI$3=Assumptions!$F$84,Assumptions!$F$86,0)</f>
        <v>0</v>
      </c>
      <c r="BJ69" s="26" t="n">
        <f aca="false">IF(BJ$3=Assumptions!$F$84,Assumptions!$F$86,0)</f>
        <v>0</v>
      </c>
    </row>
    <row r="70" customFormat="false" ht="15" hidden="false" customHeight="false" outlineLevel="0" collapsed="false">
      <c r="A70" s="7" t="s">
        <v>243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customFormat="false" ht="15" hidden="false" customHeight="false" outlineLevel="0" collapsed="false">
      <c r="A71" s="3" t="s">
        <v>244</v>
      </c>
      <c r="B71" s="9"/>
      <c r="C71" s="14" t="n">
        <f aca="false">C58-C62-C66+C42</f>
        <v>0</v>
      </c>
      <c r="D71" s="14" t="n">
        <f aca="false">D58-D62-D66+D42</f>
        <v>-2000</v>
      </c>
      <c r="E71" s="14" t="n">
        <f aca="false">E58-E62-E66+E42</f>
        <v>0</v>
      </c>
      <c r="F71" s="14" t="n">
        <f aca="false">F58-F62-F66+F42</f>
        <v>-9950</v>
      </c>
      <c r="G71" s="14" t="n">
        <f aca="false">G58-G62-G66+G42</f>
        <v>-24713.3333333333</v>
      </c>
      <c r="H71" s="14" t="n">
        <f aca="false">H58-H62-H66+H42</f>
        <v>-13913.3333333333</v>
      </c>
      <c r="I71" s="14" t="n">
        <f aca="false">I58-I62-I66+I42</f>
        <v>-13646.6666666667</v>
      </c>
      <c r="J71" s="14" t="n">
        <f aca="false">J58-J62-J66+J42</f>
        <v>-12756.6666666667</v>
      </c>
      <c r="K71" s="14" t="n">
        <f aca="false">K58-K62-K66+K42</f>
        <v>-6756.66666666667</v>
      </c>
      <c r="L71" s="14" t="n">
        <f aca="false">L58-L62-L66+L42</f>
        <v>-6756.66666666667</v>
      </c>
      <c r="M71" s="14" t="n">
        <f aca="false">M58-M62-M66+M42</f>
        <v>-7992.4254474526</v>
      </c>
      <c r="N71" s="14" t="n">
        <f aca="false">N58-N62-N66+N42</f>
        <v>-8675.16110218258</v>
      </c>
      <c r="O71" s="14" t="n">
        <f aca="false">O58-O62-O66+O42</f>
        <v>-5744.54783650853</v>
      </c>
      <c r="P71" s="14" t="n">
        <f aca="false">P58-P62-P66+P42</f>
        <v>-10967.8595868897</v>
      </c>
      <c r="Q71" s="14" t="n">
        <f aca="false">Q58-Q62-Q66+Q42</f>
        <v>-1095.52557121307</v>
      </c>
      <c r="R71" s="14" t="n">
        <f aca="false">R58-R62-R66+R42</f>
        <v>-99.9169504342128</v>
      </c>
      <c r="S71" s="14" t="n">
        <f aca="false">S58-S62-S66+S42</f>
        <v>-8281.36460123737</v>
      </c>
      <c r="T71" s="14" t="n">
        <f aca="false">T58-T62-T66+T42</f>
        <v>-8231.75466637933</v>
      </c>
      <c r="U71" s="14" t="n">
        <f aca="false">U58-U62-U66+U42</f>
        <v>-8181.23521604889</v>
      </c>
      <c r="V71" s="14" t="n">
        <f aca="false">V58-V62-V66+V42</f>
        <v>-7132.98957579572</v>
      </c>
      <c r="W71" s="14" t="n">
        <f aca="false">W58-W62-W66+W42</f>
        <v>-360.600765471238</v>
      </c>
      <c r="X71" s="14" t="n">
        <f aca="false">X58-X62-X66+X42</f>
        <v>-1647.4559380686</v>
      </c>
      <c r="Y71" s="14" t="n">
        <f aca="false">Y58-Y62-Y66+Y42</f>
        <v>-7228.12859623765</v>
      </c>
      <c r="Z71" s="14" t="n">
        <f aca="false">Z58-Z62-Z66+Z42</f>
        <v>-8598.16080869534</v>
      </c>
      <c r="AA71" s="14" t="n">
        <f aca="false">AA58-AA62-AA66+AA42</f>
        <v>-4348.92027097403</v>
      </c>
      <c r="AB71" s="14" t="n">
        <f aca="false">AB58-AB62-AB66+AB42</f>
        <v>-12869.2154105056</v>
      </c>
      <c r="AC71" s="14" t="n">
        <f aca="false">AC58-AC62-AC66+AC42</f>
        <v>-1122.22426937303</v>
      </c>
      <c r="AD71" s="14" t="n">
        <f aca="false">AD58-AD62-AD66+AD42</f>
        <v>1217.83794638401</v>
      </c>
      <c r="AE71" s="14" t="n">
        <f aca="false">AE58-AE62-AE66+AE42</f>
        <v>10400.6975398003</v>
      </c>
      <c r="AF71" s="14" t="n">
        <f aca="false">AF58-AF62-AF66+AF42</f>
        <v>17304.0989516885</v>
      </c>
      <c r="AG71" s="14" t="n">
        <f aca="false">AG58-AG62-AG66+AG42</f>
        <v>19647.4936561279</v>
      </c>
      <c r="AH71" s="14" t="n">
        <f aca="false">AH58-AH62-AH66+AH42</f>
        <v>3149.87198940807</v>
      </c>
      <c r="AI71" s="14" t="n">
        <f aca="false">AI58-AI62-AI66+AI42</f>
        <v>5280.49666798349</v>
      </c>
      <c r="AJ71" s="14" t="n">
        <f aca="false">AJ58-AJ62-AJ66+AJ42</f>
        <v>5346.84163988836</v>
      </c>
      <c r="AK71" s="14" t="n">
        <f aca="false">AK58-AK62-AK66+AK42</f>
        <v>-614.591908166294</v>
      </c>
      <c r="AL71" s="14" t="n">
        <f aca="false">AL58-AL62-AL66+AL42</f>
        <v>-2826.36087689824</v>
      </c>
      <c r="AM71" s="14" t="n">
        <f aca="false">AM58-AM62-AM66+AM42</f>
        <v>-2048.80966220509</v>
      </c>
      <c r="AN71" s="14" t="n">
        <f aca="false">AN58-AN62-AN66+AN42</f>
        <v>-13222.9174365581</v>
      </c>
      <c r="AO71" s="14" t="n">
        <f aca="false">AO58-AO62-AO66+AO42</f>
        <v>-59.0665680365088</v>
      </c>
      <c r="AP71" s="14" t="n">
        <f aca="false">AP58-AP62-AP66+AP42</f>
        <v>2569.15628522281</v>
      </c>
      <c r="AQ71" s="14" t="n">
        <f aca="false">AQ58-AQ62-AQ66+AQ42</f>
        <v>12861.4470096067</v>
      </c>
      <c r="AR71" s="14" t="n">
        <f aca="false">AR58-AR62-AR66+AR42</f>
        <v>20600.881850308</v>
      </c>
      <c r="AS71" s="14" t="n">
        <f aca="false">AS58-AS62-AS66+AS42</f>
        <v>23233.2489750888</v>
      </c>
      <c r="AT71" s="14" t="n">
        <f aca="false">AT58-AT62-AT66+AT42</f>
        <v>8335.10807374988</v>
      </c>
      <c r="AU71" s="14" t="n">
        <f aca="false">AU58-AU62-AU66+AU42</f>
        <v>7158.17214797528</v>
      </c>
      <c r="AV71" s="14" t="n">
        <f aca="false">AV58-AV62-AV66+AV42</f>
        <v>7240.678528</v>
      </c>
      <c r="AW71" s="14" t="n">
        <f aca="false">AW58-AW62-AW66+AW42</f>
        <v>488.204302222222</v>
      </c>
      <c r="AX71" s="14" t="n">
        <f aca="false">AX58-AX62-AX66+AX42</f>
        <v>-2066.03285333333</v>
      </c>
      <c r="AY71" s="14" t="n">
        <f aca="false">AY58-AY62-AY66+AY42</f>
        <v>-1273.64409514666</v>
      </c>
      <c r="AZ71" s="14" t="n">
        <f aca="false">AZ58-AZ62-AZ66+AZ42</f>
        <v>-13868.5519957333</v>
      </c>
      <c r="BA71" s="14" t="n">
        <f aca="false">BA58-BA62-BA66+BA42</f>
        <v>793.588818488884</v>
      </c>
      <c r="BB71" s="14" t="n">
        <f aca="false">BB58-BB62-BB66+BB42</f>
        <v>3654.33443271111</v>
      </c>
      <c r="BC71" s="14" t="n">
        <f aca="false">BC58-BC62-BC66+BC42</f>
        <v>15097.3168896</v>
      </c>
      <c r="BD71" s="14" t="n">
        <f aca="false">BD58-BD62-BD66+BD42</f>
        <v>23679.5537322667</v>
      </c>
      <c r="BE71" s="14" t="n">
        <f aca="false">BE58-BE62-BE66+BE42</f>
        <v>26540.2993464889</v>
      </c>
      <c r="BF71" s="14" t="n">
        <f aca="false">BF58-BF62-BF66+BF42</f>
        <v>9765.27170275557</v>
      </c>
      <c r="BG71" s="14" t="n">
        <f aca="false">BG58-BG62-BG66+BG42</f>
        <v>8356.35995136001</v>
      </c>
      <c r="BH71" s="14" t="n">
        <f aca="false">BH58-BH62-BH66+BH42</f>
        <v>8356.35995136001</v>
      </c>
      <c r="BI71" s="14" t="n">
        <f aca="false">BI58-BI62-BI66+BI42</f>
        <v>793.588818488884</v>
      </c>
      <c r="BJ71" s="14" t="n">
        <f aca="false">BJ58-BJ62-BJ66+BJ42</f>
        <v>-2067.15679573333</v>
      </c>
    </row>
    <row r="72" customFormat="false" ht="15" hidden="false" customHeight="false" outlineLevel="0" collapsed="false">
      <c r="A72" s="9" t="s">
        <v>245</v>
      </c>
      <c r="B72" s="9"/>
      <c r="C72" s="26" t="n">
        <f aca="false">IF(AND(C$3&gt;12,MOD(C$3,12)=1),MAX(0,SUMIF($C$4:$BJ$4,C$4-1,$C$71:$BJ$71))*Assumptions!$F$93,0)</f>
        <v>0</v>
      </c>
      <c r="D72" s="26" t="n">
        <f aca="false">IF(AND(D$3&gt;12,MOD(D$3,12)=1),MAX(0,SUMIF($C$4:$BJ$4,D$4-1,$C$71:$BJ$71))*Assumptions!$F$93,0)</f>
        <v>0</v>
      </c>
      <c r="E72" s="26" t="n">
        <f aca="false">IF(AND(E$3&gt;12,MOD(E$3,12)=1),MAX(0,SUMIF($C$4:$BJ$4,E$4-1,$C$71:$BJ$71))*Assumptions!$F$93,0)</f>
        <v>0</v>
      </c>
      <c r="F72" s="26" t="n">
        <f aca="false">IF(AND(F$3&gt;12,MOD(F$3,12)=1),MAX(0,SUMIF($C$4:$BJ$4,F$4-1,$C$71:$BJ$71))*Assumptions!$F$93,0)</f>
        <v>0</v>
      </c>
      <c r="G72" s="26" t="n">
        <f aca="false">IF(AND(G$3&gt;12,MOD(G$3,12)=1),MAX(0,SUMIF($C$4:$BJ$4,G$4-1,$C$71:$BJ$71))*Assumptions!$F$93,0)</f>
        <v>0</v>
      </c>
      <c r="H72" s="26" t="n">
        <f aca="false">IF(AND(H$3&gt;12,MOD(H$3,12)=1),MAX(0,SUMIF($C$4:$BJ$4,H$4-1,$C$71:$BJ$71))*Assumptions!$F$93,0)</f>
        <v>0</v>
      </c>
      <c r="I72" s="26" t="n">
        <f aca="false">IF(AND(I$3&gt;12,MOD(I$3,12)=1),MAX(0,SUMIF($C$4:$BJ$4,I$4-1,$C$71:$BJ$71))*Assumptions!$F$93,0)</f>
        <v>0</v>
      </c>
      <c r="J72" s="26" t="n">
        <f aca="false">IF(AND(J$3&gt;12,MOD(J$3,12)=1),MAX(0,SUMIF($C$4:$BJ$4,J$4-1,$C$71:$BJ$71))*Assumptions!$F$93,0)</f>
        <v>0</v>
      </c>
      <c r="K72" s="26" t="n">
        <f aca="false">IF(AND(K$3&gt;12,MOD(K$3,12)=1),MAX(0,SUMIF($C$4:$BJ$4,K$4-1,$C$71:$BJ$71))*Assumptions!$F$93,0)</f>
        <v>0</v>
      </c>
      <c r="L72" s="26" t="n">
        <f aca="false">IF(AND(L$3&gt;12,MOD(L$3,12)=1),MAX(0,SUMIF($C$4:$BJ$4,L$4-1,$C$71:$BJ$71))*Assumptions!$F$93,0)</f>
        <v>0</v>
      </c>
      <c r="M72" s="26" t="n">
        <f aca="false">IF(AND(M$3&gt;12,MOD(M$3,12)=1),MAX(0,SUMIF($C$4:$BJ$4,M$4-1,$C$71:$BJ$71))*Assumptions!$F$93,0)</f>
        <v>0</v>
      </c>
      <c r="N72" s="26" t="n">
        <f aca="false">IF(AND(N$3&gt;12,MOD(N$3,12)=1),MAX(0,SUMIF($C$4:$BJ$4,N$4-1,$C$71:$BJ$71))*Assumptions!$F$93,0)</f>
        <v>0</v>
      </c>
      <c r="O72" s="26" t="n">
        <f aca="false">IF(AND(O$3&gt;12,MOD(O$3,12)=1),MAX(0,SUMIF($C$4:$BJ$4,O$4-1,$C$71:$BJ$71))*Assumptions!$F$93,0)</f>
        <v>0</v>
      </c>
      <c r="P72" s="26" t="n">
        <f aca="false">IF(AND(P$3&gt;12,MOD(P$3,12)=1),MAX(0,SUMIF($C$4:$BJ$4,P$4-1,$C$71:$BJ$71))*Assumptions!$F$93,0)</f>
        <v>0</v>
      </c>
      <c r="Q72" s="26" t="n">
        <f aca="false">IF(AND(Q$3&gt;12,MOD(Q$3,12)=1),MAX(0,SUMIF($C$4:$BJ$4,Q$4-1,$C$71:$BJ$71))*Assumptions!$F$93,0)</f>
        <v>0</v>
      </c>
      <c r="R72" s="26" t="n">
        <f aca="false">IF(AND(R$3&gt;12,MOD(R$3,12)=1),MAX(0,SUMIF($C$4:$BJ$4,R$4-1,$C$71:$BJ$71))*Assumptions!$F$93,0)</f>
        <v>0</v>
      </c>
      <c r="S72" s="26" t="n">
        <f aca="false">IF(AND(S$3&gt;12,MOD(S$3,12)=1),MAX(0,SUMIF($C$4:$BJ$4,S$4-1,$C$71:$BJ$71))*Assumptions!$F$93,0)</f>
        <v>0</v>
      </c>
      <c r="T72" s="26" t="n">
        <f aca="false">IF(AND(T$3&gt;12,MOD(T$3,12)=1),MAX(0,SUMIF($C$4:$BJ$4,T$4-1,$C$71:$BJ$71))*Assumptions!$F$93,0)</f>
        <v>0</v>
      </c>
      <c r="U72" s="26" t="n">
        <f aca="false">IF(AND(U$3&gt;12,MOD(U$3,12)=1),MAX(0,SUMIF($C$4:$BJ$4,U$4-1,$C$71:$BJ$71))*Assumptions!$F$93,0)</f>
        <v>0</v>
      </c>
      <c r="V72" s="26" t="n">
        <f aca="false">IF(AND(V$3&gt;12,MOD(V$3,12)=1),MAX(0,SUMIF($C$4:$BJ$4,V$4-1,$C$71:$BJ$71))*Assumptions!$F$93,0)</f>
        <v>0</v>
      </c>
      <c r="W72" s="26" t="n">
        <f aca="false">IF(AND(W$3&gt;12,MOD(W$3,12)=1),MAX(0,SUMIF($C$4:$BJ$4,W$4-1,$C$71:$BJ$71))*Assumptions!$F$93,0)</f>
        <v>0</v>
      </c>
      <c r="X72" s="26" t="n">
        <f aca="false">IF(AND(X$3&gt;12,MOD(X$3,12)=1),MAX(0,SUMIF($C$4:$BJ$4,X$4-1,$C$71:$BJ$71))*Assumptions!$F$93,0)</f>
        <v>0</v>
      </c>
      <c r="Y72" s="26" t="n">
        <f aca="false">IF(AND(Y$3&gt;12,MOD(Y$3,12)=1),MAX(0,SUMIF($C$4:$BJ$4,Y$4-1,$C$71:$BJ$71))*Assumptions!$F$93,0)</f>
        <v>0</v>
      </c>
      <c r="Z72" s="26" t="n">
        <f aca="false">IF(AND(Z$3&gt;12,MOD(Z$3,12)=1),MAX(0,SUMIF($C$4:$BJ$4,Z$4-1,$C$71:$BJ$71))*Assumptions!$F$93,0)</f>
        <v>0</v>
      </c>
      <c r="AA72" s="26" t="n">
        <f aca="false">IF(AND(AA$3&gt;12,MOD(AA$3,12)=1),MAX(0,SUMIF($C$4:$BJ$4,AA$4-1,$C$71:$BJ$71))*Assumptions!$F$93,0)</f>
        <v>0</v>
      </c>
      <c r="AB72" s="26" t="n">
        <f aca="false">IF(AND(AB$3&gt;12,MOD(AB$3,12)=1),MAX(0,SUMIF($C$4:$BJ$4,AB$4-1,$C$71:$BJ$71))*Assumptions!$F$93,0)</f>
        <v>0</v>
      </c>
      <c r="AC72" s="26" t="n">
        <f aca="false">IF(AND(AC$3&gt;12,MOD(AC$3,12)=1),MAX(0,SUMIF($C$4:$BJ$4,AC$4-1,$C$71:$BJ$71))*Assumptions!$F$93,0)</f>
        <v>0</v>
      </c>
      <c r="AD72" s="26" t="n">
        <f aca="false">IF(AND(AD$3&gt;12,MOD(AD$3,12)=1),MAX(0,SUMIF($C$4:$BJ$4,AD$4-1,$C$71:$BJ$71))*Assumptions!$F$93,0)</f>
        <v>0</v>
      </c>
      <c r="AE72" s="26" t="n">
        <f aca="false">IF(AND(AE$3&gt;12,MOD(AE$3,12)=1),MAX(0,SUMIF($C$4:$BJ$4,AE$4-1,$C$71:$BJ$71))*Assumptions!$F$93,0)</f>
        <v>0</v>
      </c>
      <c r="AF72" s="26" t="n">
        <f aca="false">IF(AND(AF$3&gt;12,MOD(AF$3,12)=1),MAX(0,SUMIF($C$4:$BJ$4,AF$4-1,$C$71:$BJ$71))*Assumptions!$F$93,0)</f>
        <v>0</v>
      </c>
      <c r="AG72" s="26" t="n">
        <f aca="false">IF(AND(AG$3&gt;12,MOD(AG$3,12)=1),MAX(0,SUMIF($C$4:$BJ$4,AG$4-1,$C$71:$BJ$71))*Assumptions!$F$93,0)</f>
        <v>0</v>
      </c>
      <c r="AH72" s="26" t="n">
        <f aca="false">IF(AND(AH$3&gt;12,MOD(AH$3,12)=1),MAX(0,SUMIF($C$4:$BJ$4,AH$4-1,$C$71:$BJ$71))*Assumptions!$F$93,0)</f>
        <v>0</v>
      </c>
      <c r="AI72" s="26" t="n">
        <f aca="false">IF(AND(AI$3&gt;12,MOD(AI$3,12)=1),MAX(0,SUMIF($C$4:$BJ$4,AI$4-1,$C$71:$BJ$71))*Assumptions!$F$93,0)</f>
        <v>0</v>
      </c>
      <c r="AJ72" s="26" t="n">
        <f aca="false">IF(AND(AJ$3&gt;12,MOD(AJ$3,12)=1),MAX(0,SUMIF($C$4:$BJ$4,AJ$4-1,$C$71:$BJ$71))*Assumptions!$F$93,0)</f>
        <v>0</v>
      </c>
      <c r="AK72" s="26" t="n">
        <f aca="false">IF(AND(AK$3&gt;12,MOD(AK$3,12)=1),MAX(0,SUMIF($C$4:$BJ$4,AK$4-1,$C$71:$BJ$71))*Assumptions!$F$93,0)</f>
        <v>0</v>
      </c>
      <c r="AL72" s="26" t="n">
        <f aca="false">IF(AND(AL$3&gt;12,MOD(AL$3,12)=1),MAX(0,SUMIF($C$4:$BJ$4,AL$4-1,$C$71:$BJ$71))*Assumptions!$F$93,0)</f>
        <v>0</v>
      </c>
      <c r="AM72" s="26" t="n">
        <f aca="false">IF(AND(AM$3&gt;12,MOD(AM$3,12)=1),MAX(0,SUMIF($C$4:$BJ$4,AM$4-1,$C$71:$BJ$71))*Assumptions!$F$93,0)</f>
        <v>4056.60256553634</v>
      </c>
      <c r="AN72" s="26" t="n">
        <f aca="false">IF(AND(AN$3&gt;12,MOD(AN$3,12)=1),MAX(0,SUMIF($C$4:$BJ$4,AN$4-1,$C$71:$BJ$71))*Assumptions!$F$93,0)</f>
        <v>0</v>
      </c>
      <c r="AO72" s="26" t="n">
        <f aca="false">IF(AND(AO$3&gt;12,MOD(AO$3,12)=1),MAX(0,SUMIF($C$4:$BJ$4,AO$4-1,$C$71:$BJ$71))*Assumptions!$F$93,0)</f>
        <v>0</v>
      </c>
      <c r="AP72" s="26" t="n">
        <f aca="false">IF(AND(AP$3&gt;12,MOD(AP$3,12)=1),MAX(0,SUMIF($C$4:$BJ$4,AP$4-1,$C$71:$BJ$71))*Assumptions!$F$93,0)</f>
        <v>0</v>
      </c>
      <c r="AQ72" s="26" t="n">
        <f aca="false">IF(AND(AQ$3&gt;12,MOD(AQ$3,12)=1),MAX(0,SUMIF($C$4:$BJ$4,AQ$4-1,$C$71:$BJ$71))*Assumptions!$F$93,0)</f>
        <v>0</v>
      </c>
      <c r="AR72" s="26" t="n">
        <f aca="false">IF(AND(AR$3&gt;12,MOD(AR$3,12)=1),MAX(0,SUMIF($C$4:$BJ$4,AR$4-1,$C$71:$BJ$71))*Assumptions!$F$93,0)</f>
        <v>0</v>
      </c>
      <c r="AS72" s="26" t="n">
        <f aca="false">IF(AND(AS$3&gt;12,MOD(AS$3,12)=1),MAX(0,SUMIF($C$4:$BJ$4,AS$4-1,$C$71:$BJ$71))*Assumptions!$F$93,0)</f>
        <v>0</v>
      </c>
      <c r="AT72" s="26" t="n">
        <f aca="false">IF(AND(AT$3&gt;12,MOD(AT$3,12)=1),MAX(0,SUMIF($C$4:$BJ$4,AT$4-1,$C$71:$BJ$71))*Assumptions!$F$93,0)</f>
        <v>0</v>
      </c>
      <c r="AU72" s="26" t="n">
        <f aca="false">IF(AND(AU$3&gt;12,MOD(AU$3,12)=1),MAX(0,SUMIF($C$4:$BJ$4,AU$4-1,$C$71:$BJ$71))*Assumptions!$F$93,0)</f>
        <v>0</v>
      </c>
      <c r="AV72" s="26" t="n">
        <f aca="false">IF(AND(AV$3&gt;12,MOD(AV$3,12)=1),MAX(0,SUMIF($C$4:$BJ$4,AV$4-1,$C$71:$BJ$71))*Assumptions!$F$93,0)</f>
        <v>0</v>
      </c>
      <c r="AW72" s="26" t="n">
        <f aca="false">IF(AND(AW$3&gt;12,MOD(AW$3,12)=1),MAX(0,SUMIF($C$4:$BJ$4,AW$4-1,$C$71:$BJ$71))*Assumptions!$F$93,0)</f>
        <v>0</v>
      </c>
      <c r="AX72" s="26" t="n">
        <f aca="false">IF(AND(AX$3&gt;12,MOD(AX$3,12)=1),MAX(0,SUMIF($C$4:$BJ$4,AX$4-1,$C$71:$BJ$71))*Assumptions!$F$93,0)</f>
        <v>0</v>
      </c>
      <c r="AY72" s="26" t="n">
        <f aca="false">IF(AND(AY$3&gt;12,MOD(AY$3,12)=1),MAX(0,SUMIF($C$4:$BJ$4,AY$4-1,$C$71:$BJ$71))*Assumptions!$F$93,0)</f>
        <v>6509.00706520407</v>
      </c>
      <c r="AZ72" s="26" t="n">
        <f aca="false">IF(AND(AZ$3&gt;12,MOD(AZ$3,12)=1),MAX(0,SUMIF($C$4:$BJ$4,AZ$4-1,$C$71:$BJ$71))*Assumptions!$F$93,0)</f>
        <v>0</v>
      </c>
      <c r="BA72" s="26" t="n">
        <f aca="false">IF(AND(BA$3&gt;12,MOD(BA$3,12)=1),MAX(0,SUMIF($C$4:$BJ$4,BA$4-1,$C$71:$BJ$71))*Assumptions!$F$93,0)</f>
        <v>0</v>
      </c>
      <c r="BB72" s="26" t="n">
        <f aca="false">IF(AND(BB$3&gt;12,MOD(BB$3,12)=1),MAX(0,SUMIF($C$4:$BJ$4,BB$4-1,$C$71:$BJ$71))*Assumptions!$F$93,0)</f>
        <v>0</v>
      </c>
      <c r="BC72" s="26" t="n">
        <f aca="false">IF(AND(BC$3&gt;12,MOD(BC$3,12)=1),MAX(0,SUMIF($C$4:$BJ$4,BC$4-1,$C$71:$BJ$71))*Assumptions!$F$93,0)</f>
        <v>0</v>
      </c>
      <c r="BD72" s="26" t="n">
        <f aca="false">IF(AND(BD$3&gt;12,MOD(BD$3,12)=1),MAX(0,SUMIF($C$4:$BJ$4,BD$4-1,$C$71:$BJ$71))*Assumptions!$F$93,0)</f>
        <v>0</v>
      </c>
      <c r="BE72" s="26" t="n">
        <f aca="false">IF(AND(BE$3&gt;12,MOD(BE$3,12)=1),MAX(0,SUMIF($C$4:$BJ$4,BE$4-1,$C$71:$BJ$71))*Assumptions!$F$93,0)</f>
        <v>0</v>
      </c>
      <c r="BF72" s="26" t="n">
        <f aca="false">IF(AND(BF$3&gt;12,MOD(BF$3,12)=1),MAX(0,SUMIF($C$4:$BJ$4,BF$4-1,$C$71:$BJ$71))*Assumptions!$F$93,0)</f>
        <v>0</v>
      </c>
      <c r="BG72" s="26" t="n">
        <f aca="false">IF(AND(BG$3&gt;12,MOD(BG$3,12)=1),MAX(0,SUMIF($C$4:$BJ$4,BG$4-1,$C$71:$BJ$71))*Assumptions!$F$93,0)</f>
        <v>0</v>
      </c>
      <c r="BH72" s="26" t="n">
        <f aca="false">IF(AND(BH$3&gt;12,MOD(BH$3,12)=1),MAX(0,SUMIF($C$4:$BJ$4,BH$4-1,$C$71:$BJ$71))*Assumptions!$F$93,0)</f>
        <v>0</v>
      </c>
      <c r="BI72" s="26" t="n">
        <f aca="false">IF(AND(BI$3&gt;12,MOD(BI$3,12)=1),MAX(0,SUMIF($C$4:$BJ$4,BI$4-1,$C$71:$BJ$71))*Assumptions!$F$93,0)</f>
        <v>0</v>
      </c>
      <c r="BJ72" s="26" t="n">
        <f aca="false">IF(AND(BJ$3&gt;12,MOD(BJ$3,12)=1),MAX(0,SUMIF($C$4:$BJ$4,BJ$4-1,$C$71:$BJ$71))*Assumptions!$F$93,0)</f>
        <v>0</v>
      </c>
    </row>
    <row r="73" customFormat="false" ht="15" hidden="false" customHeight="false" outlineLevel="0" collapsed="false">
      <c r="A73" s="7" t="s">
        <v>246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customFormat="false" ht="15" hidden="false" customHeight="false" outlineLevel="0" collapsed="false">
      <c r="A74" s="3" t="s">
        <v>247</v>
      </c>
      <c r="B74" s="9"/>
      <c r="C74" s="14" t="n">
        <f aca="false">C32-C43-C56-C66-C72</f>
        <v>0</v>
      </c>
      <c r="D74" s="14" t="n">
        <f aca="false">D32-D43-D56-D66-D72</f>
        <v>-2000</v>
      </c>
      <c r="E74" s="14" t="n">
        <f aca="false">E32-E43-E56-E66-E72</f>
        <v>0</v>
      </c>
      <c r="F74" s="14" t="n">
        <f aca="false">F32-F43-F56-F66-F72</f>
        <v>-9950</v>
      </c>
      <c r="G74" s="14" t="n">
        <f aca="false">G32-G43-G56-G66-G72</f>
        <v>-23496.6666666667</v>
      </c>
      <c r="H74" s="14" t="n">
        <f aca="false">H32-H43-H56-H66-H72</f>
        <v>-12696.6666666667</v>
      </c>
      <c r="I74" s="14" t="n">
        <f aca="false">I32-I43-I56-I66-I72</f>
        <v>-12430</v>
      </c>
      <c r="J74" s="14" t="n">
        <f aca="false">J32-J43-J56-J66-J72</f>
        <v>-14036</v>
      </c>
      <c r="K74" s="14" t="n">
        <f aca="false">K32-K43-K56-K66-K72</f>
        <v>-5540</v>
      </c>
      <c r="L74" s="14" t="n">
        <f aca="false">L32-L43-L56-L66-L72</f>
        <v>-5540</v>
      </c>
      <c r="M74" s="14" t="n">
        <f aca="false">M32-M43-M56-M66-M72</f>
        <v>-6770.98100300816</v>
      </c>
      <c r="N74" s="14" t="n">
        <f aca="false">N32-N43-N56-N66-N72</f>
        <v>-7433.16110218258</v>
      </c>
      <c r="O74" s="14" t="n">
        <f aca="false">O32-O43-O56-O66-O72</f>
        <v>-5617.43228095298</v>
      </c>
      <c r="P74" s="14" t="n">
        <f aca="false">P32-P43-P56-P66-P72</f>
        <v>-11150.6329202231</v>
      </c>
      <c r="Q74" s="14" t="n">
        <f aca="false">Q32-Q43-Q56-Q66-Q72</f>
        <v>-503.227793435296</v>
      </c>
      <c r="R74" s="14" t="n">
        <f aca="false">R32-R43-R56-R66-R72</f>
        <v>1113.80660512134</v>
      </c>
      <c r="S74" s="14" t="n">
        <f aca="false">S32-S43-S56-S66-S72</f>
        <v>-5688.88993457071</v>
      </c>
      <c r="T74" s="14" t="n">
        <f aca="false">T32-T43-T56-T66-T72</f>
        <v>-6175.08799971266</v>
      </c>
      <c r="U74" s="14" t="n">
        <f aca="false">U32-U43-U56-U66-U72</f>
        <v>-6124.56854938222</v>
      </c>
      <c r="V74" s="14" t="n">
        <f aca="false">V32-V43-V56-V66-V72</f>
        <v>-7871.84290912905</v>
      </c>
      <c r="W74" s="14" t="n">
        <f aca="false">W32-W43-W56-W66-W72</f>
        <v>1696.06590119543</v>
      </c>
      <c r="X74" s="14" t="n">
        <f aca="false">X32-X43-X56-X66-X72</f>
        <v>506.065839709183</v>
      </c>
      <c r="Y74" s="14" t="n">
        <f aca="false">Y32-Y43-Y56-Y66-Y72</f>
        <v>-5414.2841517932</v>
      </c>
      <c r="Z74" s="14" t="n">
        <f aca="false">Z32-Z43-Z56-Z66-Z72</f>
        <v>-8751.06747536201</v>
      </c>
      <c r="AA74" s="14" t="n">
        <f aca="false">AA32-AA43-AA56-AA66-AA72</f>
        <v>-7060.04507097403</v>
      </c>
      <c r="AB74" s="14" t="n">
        <f aca="false">AB32-AB43-AB56-AB66-AB72</f>
        <v>-14234.1338105056</v>
      </c>
      <c r="AC74" s="14" t="n">
        <f aca="false">AC32-AC43-AC56-AC66-AC72</f>
        <v>-2651.95689159525</v>
      </c>
      <c r="AD74" s="14" t="n">
        <f aca="false">AD32-AD43-AD56-AD66-AD72</f>
        <v>627.163101939567</v>
      </c>
      <c r="AE74" s="14" t="n">
        <f aca="false">AE32-AE43-AE56-AE66-AE72</f>
        <v>10254.637806467</v>
      </c>
      <c r="AF74" s="14" t="n">
        <f aca="false">AF32-AF43-AF56-AF66-AF72</f>
        <v>21079.0845516885</v>
      </c>
      <c r="AG74" s="14" t="n">
        <f aca="false">AG32-AG43-AG56-AG66-AG72</f>
        <v>26569.2810339057</v>
      </c>
      <c r="AH74" s="14" t="n">
        <f aca="false">AH32-AH43-AH56-AH66-AH72</f>
        <v>11828.4953494081</v>
      </c>
      <c r="AI74" s="14" t="n">
        <f aca="false">AI32-AI43-AI56-AI66-AI72</f>
        <v>9980.43501465016</v>
      </c>
      <c r="AJ74" s="14" t="n">
        <f aca="false">AJ32-AJ43-AJ56-AJ66-AJ72</f>
        <v>7403.50830655503</v>
      </c>
      <c r="AK74" s="14" t="n">
        <f aca="false">AK32-AK43-AK56-AK66-AK72</f>
        <v>1877.78362961148</v>
      </c>
      <c r="AL74" s="14" t="n">
        <f aca="false">AL32-AL43-AL56-AL66-AL72</f>
        <v>-3087.40727689824</v>
      </c>
      <c r="AM74" s="14" t="n">
        <f aca="false">AM32-AM43-AM56-AM66-AM72</f>
        <v>-9423.7157584081</v>
      </c>
      <c r="AN74" s="14" t="n">
        <f aca="false">AN32-AN43-AN56-AN66-AN72</f>
        <v>-14998.4260445581</v>
      </c>
      <c r="AO74" s="14" t="n">
        <f aca="false">AO32-AO43-AO56-AO66-AO72</f>
        <v>-2019.1671049254</v>
      </c>
      <c r="AP74" s="14" t="n">
        <f aca="false">AP32-AP43-AP56-AP66-AP72</f>
        <v>1660.80045944504</v>
      </c>
      <c r="AQ74" s="14" t="n">
        <f aca="false">AQ32-AQ43-AQ56-AQ66-AQ72</f>
        <v>12451.0601082734</v>
      </c>
      <c r="AR74" s="14" t="n">
        <f aca="false">AR32-AR43-AR56-AR66-AR72</f>
        <v>24582.065722308</v>
      </c>
      <c r="AS74" s="14" t="n">
        <f aca="false">AS32-AS43-AS56-AS66-AS72</f>
        <v>30738.8508381999</v>
      </c>
      <c r="AT74" s="14" t="n">
        <f aca="false">AT32-AT43-AT56-AT66-AT72</f>
        <v>17550.2731581943</v>
      </c>
      <c r="AU74" s="14" t="n">
        <f aca="false">AU32-AU43-AU56-AU66-AU72</f>
        <v>13903.9265074419</v>
      </c>
      <c r="AV74" s="14" t="n">
        <f aca="false">AV32-AV43-AV56-AV66-AV72</f>
        <v>9297.34519466667</v>
      </c>
      <c r="AW74" s="14" t="n">
        <f aca="false">AW32-AW43-AW56-AW66-AW72</f>
        <v>3032.86490453334</v>
      </c>
      <c r="AX74" s="14" t="n">
        <f aca="false">AX32-AX43-AX56-AX66-AX72</f>
        <v>-2605.20482133333</v>
      </c>
      <c r="AY74" s="14" t="n">
        <f aca="false">AY32-AY43-AY56-AY66-AY72</f>
        <v>-11745.9511146974</v>
      </c>
      <c r="AZ74" s="14" t="n">
        <f aca="false">AZ32-AZ43-AZ56-AZ66-AZ72</f>
        <v>-16103.9216366933</v>
      </c>
      <c r="BA74" s="14" t="n">
        <f aca="false">BA32-BA43-BA56-BA66-BA72</f>
        <v>-1648.52378282667</v>
      </c>
      <c r="BB74" s="14" t="n">
        <f aca="false">BB32-BB43-BB56-BB66-BB72</f>
        <v>2390.17590784</v>
      </c>
      <c r="BC74" s="14" t="n">
        <f aca="false">BC32-BC43-BC56-BC66-BC72</f>
        <v>14390.8835601067</v>
      </c>
      <c r="BD74" s="14" t="n">
        <f aca="false">BD32-BD43-BD56-BD66-BD72</f>
        <v>27891.6796689067</v>
      </c>
      <c r="BE74" s="14" t="n">
        <f aca="false">BE32-BE43-BE56-BE66-BE72</f>
        <v>34699.7734331734</v>
      </c>
      <c r="BF74" s="14" t="n">
        <f aca="false">BF32-BF43-BF56-BF66-BF72</f>
        <v>19839.4565973333</v>
      </c>
      <c r="BG74" s="14" t="n">
        <f aca="false">BG32-BG43-BG56-BG66-BG72</f>
        <v>15664.8048339627</v>
      </c>
      <c r="BH74" s="14" t="n">
        <f aca="false">BH32-BH43-BH56-BH66-BH72</f>
        <v>10413.0266180267</v>
      </c>
      <c r="BI74" s="14" t="n">
        <f aca="false">BI32-BI43-BI56-BI66-BI72</f>
        <v>3396.80869307734</v>
      </c>
      <c r="BJ74" s="14" t="n">
        <f aca="false">BJ32-BJ43-BJ56-BJ66-BJ72</f>
        <v>-2917.82939989334</v>
      </c>
    </row>
    <row r="75" customFormat="false" ht="15" hidden="false" customHeight="false" outlineLevel="0" collapsed="false">
      <c r="A75" s="9" t="s">
        <v>248</v>
      </c>
      <c r="B75" s="9"/>
      <c r="C75" s="26" t="n">
        <f aca="false">-(C60-C61)</f>
        <v>-0</v>
      </c>
      <c r="D75" s="26" t="n">
        <f aca="false">-(D60-D61)</f>
        <v>-0</v>
      </c>
      <c r="E75" s="26" t="n">
        <f aca="false">-(E60-E61)</f>
        <v>-0</v>
      </c>
      <c r="F75" s="26" t="n">
        <f aca="false">-(F60-F61)</f>
        <v>-128000</v>
      </c>
      <c r="G75" s="26" t="n">
        <f aca="false">-(G60-G61)</f>
        <v>-0</v>
      </c>
      <c r="H75" s="26" t="n">
        <f aca="false">-(H60-H61)</f>
        <v>-0</v>
      </c>
      <c r="I75" s="26" t="n">
        <f aca="false">-(I60-I61)</f>
        <v>-0</v>
      </c>
      <c r="J75" s="26" t="n">
        <f aca="false">-(J60-J61)</f>
        <v>-0</v>
      </c>
      <c r="K75" s="26" t="n">
        <f aca="false">-(K60-K61)</f>
        <v>-0</v>
      </c>
      <c r="L75" s="26" t="n">
        <f aca="false">-(L60-L61)</f>
        <v>-0</v>
      </c>
      <c r="M75" s="26" t="n">
        <f aca="false">-(M60-M61)</f>
        <v>-0</v>
      </c>
      <c r="N75" s="26" t="n">
        <f aca="false">-(N60-N61)</f>
        <v>-0</v>
      </c>
      <c r="O75" s="26" t="n">
        <f aca="false">-(O60-O61)</f>
        <v>-0</v>
      </c>
      <c r="P75" s="26" t="n">
        <f aca="false">-(P60-P61)</f>
        <v>-0</v>
      </c>
      <c r="Q75" s="26" t="n">
        <f aca="false">-(Q60-Q61)</f>
        <v>-0</v>
      </c>
      <c r="R75" s="26" t="n">
        <f aca="false">-(R60-R61)</f>
        <v>-95200</v>
      </c>
      <c r="S75" s="26" t="n">
        <f aca="false">-(S60-S61)</f>
        <v>-0</v>
      </c>
      <c r="T75" s="26" t="n">
        <f aca="false">-(T60-T61)</f>
        <v>-0</v>
      </c>
      <c r="U75" s="26" t="n">
        <f aca="false">-(U60-U61)</f>
        <v>-0</v>
      </c>
      <c r="V75" s="26" t="n">
        <f aca="false">-(V60-V61)</f>
        <v>-0</v>
      </c>
      <c r="W75" s="26" t="n">
        <f aca="false">-(W60-W61)</f>
        <v>-0</v>
      </c>
      <c r="X75" s="26" t="n">
        <f aca="false">-(X60-X61)</f>
        <v>-0</v>
      </c>
      <c r="Y75" s="26" t="n">
        <f aca="false">-(Y60-Y61)</f>
        <v>-0</v>
      </c>
      <c r="Z75" s="26" t="n">
        <f aca="false">-(Z60-Z61)</f>
        <v>-0</v>
      </c>
      <c r="AA75" s="26" t="n">
        <f aca="false">-(AA60-AA61)</f>
        <v>-0</v>
      </c>
      <c r="AB75" s="26" t="n">
        <f aca="false">-(AB60-AB61)</f>
        <v>-0</v>
      </c>
      <c r="AC75" s="26" t="n">
        <f aca="false">-(AC60-AC61)</f>
        <v>-0</v>
      </c>
      <c r="AD75" s="26" t="n">
        <f aca="false">-(AD60-AD61)</f>
        <v>-0</v>
      </c>
      <c r="AE75" s="26" t="n">
        <f aca="false">-(AE60-AE61)</f>
        <v>-0</v>
      </c>
      <c r="AF75" s="26" t="n">
        <f aca="false">-(AF60-AF61)</f>
        <v>-0</v>
      </c>
      <c r="AG75" s="26" t="n">
        <f aca="false">-(AG60-AG61)</f>
        <v>-0</v>
      </c>
      <c r="AH75" s="26" t="n">
        <f aca="false">-(AH60-AH61)</f>
        <v>-0</v>
      </c>
      <c r="AI75" s="26" t="n">
        <f aca="false">-(AI60-AI61)</f>
        <v>-0</v>
      </c>
      <c r="AJ75" s="26" t="n">
        <f aca="false">-(AJ60-AJ61)</f>
        <v>-0</v>
      </c>
      <c r="AK75" s="26" t="n">
        <f aca="false">-(AK60-AK61)</f>
        <v>-0</v>
      </c>
      <c r="AL75" s="26" t="n">
        <f aca="false">-(AL60-AL61)</f>
        <v>-0</v>
      </c>
      <c r="AM75" s="26" t="n">
        <f aca="false">-(AM60-AM61)</f>
        <v>-0</v>
      </c>
      <c r="AN75" s="26" t="n">
        <f aca="false">-(AN60-AN61)</f>
        <v>-0</v>
      </c>
      <c r="AO75" s="26" t="n">
        <f aca="false">-(AO60-AO61)</f>
        <v>-0</v>
      </c>
      <c r="AP75" s="26" t="n">
        <f aca="false">-(AP60-AP61)</f>
        <v>-0</v>
      </c>
      <c r="AQ75" s="26" t="n">
        <f aca="false">-(AQ60-AQ61)</f>
        <v>-0</v>
      </c>
      <c r="AR75" s="26" t="n">
        <f aca="false">-(AR60-AR61)</f>
        <v>-0</v>
      </c>
      <c r="AS75" s="26" t="n">
        <f aca="false">-(AS60-AS61)</f>
        <v>-0</v>
      </c>
      <c r="AT75" s="26" t="n">
        <f aca="false">-(AT60-AT61)</f>
        <v>-0</v>
      </c>
      <c r="AU75" s="26" t="n">
        <f aca="false">-(AU60-AU61)</f>
        <v>-0</v>
      </c>
      <c r="AV75" s="26" t="n">
        <f aca="false">-(AV60-AV61)</f>
        <v>-0</v>
      </c>
      <c r="AW75" s="26" t="n">
        <f aca="false">-(AW60-AW61)</f>
        <v>-0</v>
      </c>
      <c r="AX75" s="26" t="n">
        <f aca="false">-(AX60-AX61)</f>
        <v>-0</v>
      </c>
      <c r="AY75" s="26" t="n">
        <f aca="false">-(AY60-AY61)</f>
        <v>-0</v>
      </c>
      <c r="AZ75" s="26" t="n">
        <f aca="false">-(AZ60-AZ61)</f>
        <v>-0</v>
      </c>
      <c r="BA75" s="26" t="n">
        <f aca="false">-(BA60-BA61)</f>
        <v>-0</v>
      </c>
      <c r="BB75" s="26" t="n">
        <f aca="false">-(BB60-BB61)</f>
        <v>-0</v>
      </c>
      <c r="BC75" s="26" t="n">
        <f aca="false">-(BC60-BC61)</f>
        <v>-0</v>
      </c>
      <c r="BD75" s="26" t="n">
        <f aca="false">-(BD60-BD61)</f>
        <v>-0</v>
      </c>
      <c r="BE75" s="26" t="n">
        <f aca="false">-(BE60-BE61)</f>
        <v>-0</v>
      </c>
      <c r="BF75" s="26" t="n">
        <f aca="false">-(BF60-BF61)</f>
        <v>-0</v>
      </c>
      <c r="BG75" s="26" t="n">
        <f aca="false">-(BG60-BG61)</f>
        <v>-0</v>
      </c>
      <c r="BH75" s="26" t="n">
        <f aca="false">-(BH60-BH61)</f>
        <v>-0</v>
      </c>
      <c r="BI75" s="26" t="n">
        <f aca="false">-(BI60-BI61)</f>
        <v>-0</v>
      </c>
      <c r="BJ75" s="26" t="n">
        <f aca="false">-(BJ60-BJ61)</f>
        <v>-0</v>
      </c>
    </row>
    <row r="76" customFormat="false" ht="15" hidden="false" customHeight="false" outlineLevel="0" collapsed="false">
      <c r="A76" s="9" t="s">
        <v>249</v>
      </c>
      <c r="B76" s="9"/>
      <c r="C76" s="26" t="n">
        <f aca="false">C69+C64-C67</f>
        <v>20000</v>
      </c>
      <c r="D76" s="26" t="n">
        <f aca="false">D69+D64-D67</f>
        <v>0</v>
      </c>
      <c r="E76" s="26" t="n">
        <f aca="false">E69+E64-E67</f>
        <v>120000</v>
      </c>
      <c r="F76" s="26" t="n">
        <f aca="false">F69+F64-F67</f>
        <v>0</v>
      </c>
      <c r="G76" s="26" t="n">
        <f aca="false">G69+G64-G67</f>
        <v>0</v>
      </c>
      <c r="H76" s="26" t="n">
        <f aca="false">H69+H64-H67</f>
        <v>0</v>
      </c>
      <c r="I76" s="26" t="n">
        <f aca="false">I69+I64-I67</f>
        <v>0</v>
      </c>
      <c r="J76" s="26" t="n">
        <f aca="false">J69+J64-J67</f>
        <v>0</v>
      </c>
      <c r="K76" s="26" t="n">
        <f aca="false">K69+K64-K67</f>
        <v>0</v>
      </c>
      <c r="L76" s="26" t="n">
        <f aca="false">L69+L64-L67</f>
        <v>-2382.85438137314</v>
      </c>
      <c r="M76" s="26" t="n">
        <f aca="false">M69+M64-M67</f>
        <v>-2426.54004503165</v>
      </c>
      <c r="N76" s="26" t="n">
        <f aca="false">N69+N64-N67</f>
        <v>-2471.02661252389</v>
      </c>
      <c r="O76" s="26" t="n">
        <f aca="false">O69+O64-O67</f>
        <v>-2516.32876708683</v>
      </c>
      <c r="P76" s="26" t="n">
        <f aca="false">P69+P64-P67</f>
        <v>-2562.46146115009</v>
      </c>
      <c r="Q76" s="26" t="n">
        <f aca="false">Q69+Q64-Q67</f>
        <v>-2609.43992127117</v>
      </c>
      <c r="R76" s="26" t="n">
        <f aca="false">R69+R64-R67</f>
        <v>-2657.27965316115</v>
      </c>
      <c r="S76" s="26" t="n">
        <f aca="false">S69+S64-S67</f>
        <v>-2705.99644680243</v>
      </c>
      <c r="T76" s="26" t="n">
        <f aca="false">T69+T64-T67</f>
        <v>-2755.60638166048</v>
      </c>
      <c r="U76" s="26" t="n">
        <f aca="false">U69+U64-U67</f>
        <v>-2806.12583199092</v>
      </c>
      <c r="V76" s="26" t="n">
        <f aca="false">V69+V64-V67</f>
        <v>-2857.57147224409</v>
      </c>
      <c r="W76" s="26" t="n">
        <f aca="false">W69+W64-W67</f>
        <v>-2909.96028256856</v>
      </c>
      <c r="X76" s="26" t="n">
        <f aca="false">X69+X64-X67</f>
        <v>-2963.30955441565</v>
      </c>
      <c r="Y76" s="26" t="n">
        <f aca="false">Y69+Y64-Y67</f>
        <v>-3017.63689624661</v>
      </c>
      <c r="Z76" s="26" t="n">
        <f aca="false">Z69+Z64-Z67</f>
        <v>-3072.96023934446</v>
      </c>
      <c r="AA76" s="26" t="n">
        <f aca="false">AA69+AA64-AA67</f>
        <v>-3129.29784373244</v>
      </c>
      <c r="AB76" s="26" t="n">
        <f aca="false">AB69+AB64-AB67</f>
        <v>-3186.66830420087</v>
      </c>
      <c r="AC76" s="26" t="n">
        <f aca="false">AC69+AC64-AC67</f>
        <v>-3245.09055644455</v>
      </c>
      <c r="AD76" s="26" t="n">
        <f aca="false">AD69+AD64-AD67</f>
        <v>-3304.5838833127</v>
      </c>
      <c r="AE76" s="26" t="n">
        <f aca="false">AE69+AE64-AE67</f>
        <v>-3365.16792117344</v>
      </c>
      <c r="AF76" s="26" t="n">
        <f aca="false">AF69+AF64-AF67</f>
        <v>-3426.86266639495</v>
      </c>
      <c r="AG76" s="26" t="n">
        <f aca="false">AG69+AG64-AG67</f>
        <v>-3489.68848194552</v>
      </c>
      <c r="AH76" s="26" t="n">
        <f aca="false">AH69+AH64-AH67</f>
        <v>-3553.66610411452</v>
      </c>
      <c r="AI76" s="26" t="n">
        <f aca="false">AI69+AI64-AI67</f>
        <v>-3618.81664935662</v>
      </c>
      <c r="AJ76" s="26" t="n">
        <f aca="false">AJ69+AJ64-AJ67</f>
        <v>-3685.1616212615</v>
      </c>
      <c r="AK76" s="26" t="n">
        <f aca="false">AK69+AK64-AK67</f>
        <v>-3752.72291765129</v>
      </c>
      <c r="AL76" s="26" t="n">
        <f aca="false">AL69+AL64-AL67</f>
        <v>-3821.52283780823</v>
      </c>
      <c r="AM76" s="26" t="n">
        <f aca="false">AM69+AM64-AM67</f>
        <v>-3891.58408983471</v>
      </c>
      <c r="AN76" s="26" t="n">
        <f aca="false">AN69+AN64-AN67</f>
        <v>-3962.92979814835</v>
      </c>
      <c r="AO76" s="26" t="n">
        <f aca="false">AO69+AO64-AO67</f>
        <v>-4035.5835111144</v>
      </c>
      <c r="AP76" s="26" t="n">
        <f aca="false">AP69+AP64-AP67</f>
        <v>-4109.56920881817</v>
      </c>
      <c r="AQ76" s="26" t="n">
        <f aca="false">AQ69+AQ64-AQ67</f>
        <v>-4184.91131097983</v>
      </c>
      <c r="AR76" s="26" t="n">
        <f aca="false">AR69+AR64-AR67</f>
        <v>-4261.63468501447</v>
      </c>
      <c r="AS76" s="26" t="n">
        <f aca="false">AS69+AS64-AS67</f>
        <v>-4339.76465423973</v>
      </c>
      <c r="AT76" s="26" t="n">
        <f aca="false">AT69+AT64-AT67</f>
        <v>-4419.32700623413</v>
      </c>
      <c r="AU76" s="26" t="n">
        <f aca="false">AU69+AU64-AU67</f>
        <v>-4500.34800134842</v>
      </c>
      <c r="AV76" s="26" t="n">
        <f aca="false">AV69+AV64-AV67</f>
        <v>0</v>
      </c>
      <c r="AW76" s="26" t="n">
        <f aca="false">AW69+AW64-AW67</f>
        <v>0</v>
      </c>
      <c r="AX76" s="26" t="n">
        <f aca="false">AX69+AX64-AX67</f>
        <v>0</v>
      </c>
      <c r="AY76" s="26" t="n">
        <f aca="false">AY69+AY64-AY67</f>
        <v>0</v>
      </c>
      <c r="AZ76" s="26" t="n">
        <f aca="false">AZ69+AZ64-AZ67</f>
        <v>0</v>
      </c>
      <c r="BA76" s="26" t="n">
        <f aca="false">BA69+BA64-BA67</f>
        <v>0</v>
      </c>
      <c r="BB76" s="26" t="n">
        <f aca="false">BB69+BB64-BB67</f>
        <v>0</v>
      </c>
      <c r="BC76" s="26" t="n">
        <f aca="false">BC69+BC64-BC67</f>
        <v>0</v>
      </c>
      <c r="BD76" s="26" t="n">
        <f aca="false">BD69+BD64-BD67</f>
        <v>0</v>
      </c>
      <c r="BE76" s="26" t="n">
        <f aca="false">BE69+BE64-BE67</f>
        <v>0</v>
      </c>
      <c r="BF76" s="26" t="n">
        <f aca="false">BF69+BF64-BF67</f>
        <v>0</v>
      </c>
      <c r="BG76" s="26" t="n">
        <f aca="false">BG69+BG64-BG67</f>
        <v>0</v>
      </c>
      <c r="BH76" s="26" t="n">
        <f aca="false">BH69+BH64-BH67</f>
        <v>0</v>
      </c>
      <c r="BI76" s="26" t="n">
        <f aca="false">BI69+BI64-BI67</f>
        <v>0</v>
      </c>
      <c r="BJ76" s="26" t="n">
        <f aca="false">BJ69+BJ64-BJ67</f>
        <v>0</v>
      </c>
    </row>
    <row r="77" customFormat="false" ht="15" hidden="false" customHeight="false" outlineLevel="0" collapsed="false">
      <c r="A77" s="3" t="s">
        <v>250</v>
      </c>
      <c r="B77" s="9"/>
      <c r="C77" s="14" t="n">
        <f aca="false">C74+C75+C76</f>
        <v>20000</v>
      </c>
      <c r="D77" s="14" t="n">
        <f aca="false">D74+D75+D76</f>
        <v>-2000</v>
      </c>
      <c r="E77" s="14" t="n">
        <f aca="false">E74+E75+E76</f>
        <v>120000</v>
      </c>
      <c r="F77" s="14" t="n">
        <f aca="false">F74+F75+F76</f>
        <v>-137950</v>
      </c>
      <c r="G77" s="14" t="n">
        <f aca="false">G74+G75+G76</f>
        <v>-23496.6666666667</v>
      </c>
      <c r="H77" s="14" t="n">
        <f aca="false">H74+H75+H76</f>
        <v>-12696.6666666667</v>
      </c>
      <c r="I77" s="14" t="n">
        <f aca="false">I74+I75+I76</f>
        <v>-12430</v>
      </c>
      <c r="J77" s="14" t="n">
        <f aca="false">J74+J75+J76</f>
        <v>-14036</v>
      </c>
      <c r="K77" s="14" t="n">
        <f aca="false">K74+K75+K76</f>
        <v>-5540</v>
      </c>
      <c r="L77" s="14" t="n">
        <f aca="false">L74+L75+L76</f>
        <v>-7922.85438137314</v>
      </c>
      <c r="M77" s="14" t="n">
        <f aca="false">M74+M75+M76</f>
        <v>-9197.52104803981</v>
      </c>
      <c r="N77" s="14" t="n">
        <f aca="false">N74+N75+N76</f>
        <v>-9904.18771470647</v>
      </c>
      <c r="O77" s="14" t="n">
        <f aca="false">O74+O75+O76</f>
        <v>-8133.76104803981</v>
      </c>
      <c r="P77" s="14" t="n">
        <f aca="false">P74+P75+P76</f>
        <v>-13713.0943813731</v>
      </c>
      <c r="Q77" s="14" t="n">
        <f aca="false">Q74+Q75+Q76</f>
        <v>-3112.66771470647</v>
      </c>
      <c r="R77" s="14" t="n">
        <f aca="false">R74+R75+R76</f>
        <v>-96743.4730480398</v>
      </c>
      <c r="S77" s="14" t="n">
        <f aca="false">S74+S75+S76</f>
        <v>-8394.88638137314</v>
      </c>
      <c r="T77" s="14" t="n">
        <f aca="false">T74+T75+T76</f>
        <v>-8930.69438137314</v>
      </c>
      <c r="U77" s="14" t="n">
        <f aca="false">U74+U75+U76</f>
        <v>-8930.69438137314</v>
      </c>
      <c r="V77" s="14" t="n">
        <f aca="false">V74+V75+V76</f>
        <v>-10729.4143813731</v>
      </c>
      <c r="W77" s="14" t="n">
        <f aca="false">W74+W75+W76</f>
        <v>-1213.89438137313</v>
      </c>
      <c r="X77" s="14" t="n">
        <f aca="false">X74+X75+X76</f>
        <v>-2457.24371470647</v>
      </c>
      <c r="Y77" s="14" t="n">
        <f aca="false">Y74+Y75+Y76</f>
        <v>-8431.92104803981</v>
      </c>
      <c r="Z77" s="14" t="n">
        <f aca="false">Z74+Z75+Z76</f>
        <v>-11824.0277147065</v>
      </c>
      <c r="AA77" s="14" t="n">
        <f aca="false">AA74+AA75+AA76</f>
        <v>-10189.3429147065</v>
      </c>
      <c r="AB77" s="14" t="n">
        <f aca="false">AB74+AB75+AB76</f>
        <v>-17420.8021147065</v>
      </c>
      <c r="AC77" s="14" t="n">
        <f aca="false">AC74+AC75+AC76</f>
        <v>-5897.04744803981</v>
      </c>
      <c r="AD77" s="14" t="n">
        <f aca="false">AD74+AD75+AD76</f>
        <v>-2677.42078137314</v>
      </c>
      <c r="AE77" s="14" t="n">
        <f aca="false">AE74+AE75+AE76</f>
        <v>6889.46988529353</v>
      </c>
      <c r="AF77" s="14" t="n">
        <f aca="false">AF74+AF75+AF76</f>
        <v>17652.2218852935</v>
      </c>
      <c r="AG77" s="14" t="n">
        <f aca="false">AG74+AG75+AG76</f>
        <v>23079.5925519602</v>
      </c>
      <c r="AH77" s="14" t="n">
        <f aca="false">AH74+AH75+AH76</f>
        <v>8274.82924529355</v>
      </c>
      <c r="AI77" s="14" t="n">
        <f aca="false">AI74+AI75+AI76</f>
        <v>6361.61836529354</v>
      </c>
      <c r="AJ77" s="14" t="n">
        <f aca="false">AJ74+AJ75+AJ76</f>
        <v>3718.34668529353</v>
      </c>
      <c r="AK77" s="14" t="n">
        <f aca="false">AK74+AK75+AK76</f>
        <v>-1874.93928803981</v>
      </c>
      <c r="AL77" s="14" t="n">
        <f aca="false">AL74+AL75+AL76</f>
        <v>-6908.93011470647</v>
      </c>
      <c r="AM77" s="14" t="n">
        <f aca="false">AM74+AM75+AM76</f>
        <v>-13315.2998482428</v>
      </c>
      <c r="AN77" s="14" t="n">
        <f aca="false">AN74+AN75+AN76</f>
        <v>-18961.3558427065</v>
      </c>
      <c r="AO77" s="14" t="n">
        <f aca="false">AO74+AO75+AO76</f>
        <v>-6054.75061603981</v>
      </c>
      <c r="AP77" s="14" t="n">
        <f aca="false">AP74+AP75+AP76</f>
        <v>-2448.76874937313</v>
      </c>
      <c r="AQ77" s="14" t="n">
        <f aca="false">AQ74+AQ75+AQ76</f>
        <v>8266.14879729353</v>
      </c>
      <c r="AR77" s="14" t="n">
        <f aca="false">AR74+AR75+AR76</f>
        <v>20320.4310372935</v>
      </c>
      <c r="AS77" s="14" t="n">
        <f aca="false">AS74+AS75+AS76</f>
        <v>26399.0861839602</v>
      </c>
      <c r="AT77" s="14" t="n">
        <f aca="false">AT74+AT75+AT76</f>
        <v>13130.9461519602</v>
      </c>
      <c r="AU77" s="14" t="n">
        <f aca="false">AU74+AU75+AU76</f>
        <v>9403.57850609353</v>
      </c>
      <c r="AV77" s="14" t="n">
        <f aca="false">AV74+AV75+AV76</f>
        <v>9297.34519466667</v>
      </c>
      <c r="AW77" s="14" t="n">
        <f aca="false">AW74+AW75+AW76</f>
        <v>3032.86490453334</v>
      </c>
      <c r="AX77" s="14" t="n">
        <f aca="false">AX74+AX75+AX76</f>
        <v>-2605.20482133333</v>
      </c>
      <c r="AY77" s="14" t="n">
        <f aca="false">AY74+AY75+AY76</f>
        <v>-11745.9511146974</v>
      </c>
      <c r="AZ77" s="14" t="n">
        <f aca="false">AZ74+AZ75+AZ76</f>
        <v>-16103.9216366933</v>
      </c>
      <c r="BA77" s="14" t="n">
        <f aca="false">BA74+BA75+BA76</f>
        <v>-1648.52378282667</v>
      </c>
      <c r="BB77" s="14" t="n">
        <f aca="false">BB74+BB75+BB76</f>
        <v>2390.17590784</v>
      </c>
      <c r="BC77" s="14" t="n">
        <f aca="false">BC74+BC75+BC76</f>
        <v>14390.8835601067</v>
      </c>
      <c r="BD77" s="14" t="n">
        <f aca="false">BD74+BD75+BD76</f>
        <v>27891.6796689067</v>
      </c>
      <c r="BE77" s="14" t="n">
        <f aca="false">BE74+BE75+BE76</f>
        <v>34699.7734331734</v>
      </c>
      <c r="BF77" s="14" t="n">
        <f aca="false">BF74+BF75+BF76</f>
        <v>19839.4565973333</v>
      </c>
      <c r="BG77" s="14" t="n">
        <f aca="false">BG74+BG75+BG76</f>
        <v>15664.8048339627</v>
      </c>
      <c r="BH77" s="14" t="n">
        <f aca="false">BH74+BH75+BH76</f>
        <v>10413.0266180267</v>
      </c>
      <c r="BI77" s="14" t="n">
        <f aca="false">BI74+BI75+BI76</f>
        <v>3396.80869307734</v>
      </c>
      <c r="BJ77" s="14" t="n">
        <f aca="false">BJ74+BJ75+BJ76</f>
        <v>-2917.82939989334</v>
      </c>
    </row>
    <row r="78" customFormat="false" ht="15" hidden="false" customHeight="false" outlineLevel="0" collapsed="false">
      <c r="A78" s="9" t="s">
        <v>251</v>
      </c>
      <c r="B78" s="9"/>
      <c r="C78" s="26" t="n">
        <f aca="false">0</f>
        <v>0</v>
      </c>
      <c r="D78" s="26" t="n">
        <f aca="false">C80</f>
        <v>20000</v>
      </c>
      <c r="E78" s="26" t="n">
        <f aca="false">D80</f>
        <v>18000</v>
      </c>
      <c r="F78" s="26" t="n">
        <f aca="false">E80</f>
        <v>138000</v>
      </c>
      <c r="G78" s="26" t="n">
        <f aca="false">F80</f>
        <v>5000</v>
      </c>
      <c r="H78" s="26" t="n">
        <f aca="false">G80</f>
        <v>5000</v>
      </c>
      <c r="I78" s="26" t="n">
        <f aca="false">H80</f>
        <v>5000</v>
      </c>
      <c r="J78" s="26" t="n">
        <f aca="false">I80</f>
        <v>5000</v>
      </c>
      <c r="K78" s="26" t="n">
        <f aca="false">J80</f>
        <v>5000</v>
      </c>
      <c r="L78" s="26" t="n">
        <f aca="false">K80</f>
        <v>5000</v>
      </c>
      <c r="M78" s="26" t="n">
        <f aca="false">L80</f>
        <v>5000</v>
      </c>
      <c r="N78" s="26" t="n">
        <f aca="false">M80</f>
        <v>5000</v>
      </c>
      <c r="O78" s="26" t="n">
        <f aca="false">N80</f>
        <v>5000</v>
      </c>
      <c r="P78" s="26" t="n">
        <f aca="false">O80</f>
        <v>5000</v>
      </c>
      <c r="Q78" s="26" t="n">
        <f aca="false">P80</f>
        <v>5000</v>
      </c>
      <c r="R78" s="26" t="n">
        <f aca="false">Q80</f>
        <v>5000</v>
      </c>
      <c r="S78" s="26" t="n">
        <f aca="false">R80</f>
        <v>5000</v>
      </c>
      <c r="T78" s="26" t="n">
        <f aca="false">S80</f>
        <v>5000</v>
      </c>
      <c r="U78" s="26" t="n">
        <f aca="false">T80</f>
        <v>5000</v>
      </c>
      <c r="V78" s="26" t="n">
        <f aca="false">U80</f>
        <v>5000</v>
      </c>
      <c r="W78" s="26" t="n">
        <f aca="false">V80</f>
        <v>5000</v>
      </c>
      <c r="X78" s="26" t="n">
        <f aca="false">W80</f>
        <v>5000</v>
      </c>
      <c r="Y78" s="26" t="n">
        <f aca="false">X80</f>
        <v>5000</v>
      </c>
      <c r="Z78" s="26" t="n">
        <f aca="false">Y80</f>
        <v>5000</v>
      </c>
      <c r="AA78" s="26" t="n">
        <f aca="false">Z80</f>
        <v>5000</v>
      </c>
      <c r="AB78" s="26" t="n">
        <f aca="false">AA80</f>
        <v>5000</v>
      </c>
      <c r="AC78" s="26" t="n">
        <f aca="false">AB80</f>
        <v>5000</v>
      </c>
      <c r="AD78" s="26" t="n">
        <f aca="false">AC80</f>
        <v>5000</v>
      </c>
      <c r="AE78" s="26" t="n">
        <f aca="false">AD80</f>
        <v>5000</v>
      </c>
      <c r="AF78" s="26" t="n">
        <f aca="false">AE80</f>
        <v>11889.4698852935</v>
      </c>
      <c r="AG78" s="26" t="n">
        <f aca="false">AF80</f>
        <v>29541.6917705871</v>
      </c>
      <c r="AH78" s="26" t="n">
        <f aca="false">AG80</f>
        <v>52621.2843225472</v>
      </c>
      <c r="AI78" s="26" t="n">
        <f aca="false">AH80</f>
        <v>60896.1135678408</v>
      </c>
      <c r="AJ78" s="26" t="n">
        <f aca="false">AI80</f>
        <v>67257.7319331343</v>
      </c>
      <c r="AK78" s="26" t="n">
        <f aca="false">AJ80</f>
        <v>70976.0786184279</v>
      </c>
      <c r="AL78" s="26" t="n">
        <f aca="false">AK80</f>
        <v>69101.1393303881</v>
      </c>
      <c r="AM78" s="26" t="n">
        <f aca="false">AL80</f>
        <v>62192.2092156816</v>
      </c>
      <c r="AN78" s="26" t="n">
        <f aca="false">AM80</f>
        <v>48876.9093674388</v>
      </c>
      <c r="AO78" s="26" t="n">
        <f aca="false">AN80</f>
        <v>29915.5535247323</v>
      </c>
      <c r="AP78" s="26" t="n">
        <f aca="false">AO80</f>
        <v>23860.8029086925</v>
      </c>
      <c r="AQ78" s="26" t="n">
        <f aca="false">AP80</f>
        <v>21412.0341593194</v>
      </c>
      <c r="AR78" s="26" t="n">
        <f aca="false">AQ80</f>
        <v>29678.1829566129</v>
      </c>
      <c r="AS78" s="26" t="n">
        <f aca="false">AR80</f>
        <v>49998.6139939064</v>
      </c>
      <c r="AT78" s="26" t="n">
        <f aca="false">AS80</f>
        <v>76397.7001778667</v>
      </c>
      <c r="AU78" s="26" t="n">
        <f aca="false">AT80</f>
        <v>89528.6463298269</v>
      </c>
      <c r="AV78" s="26" t="n">
        <f aca="false">AU80</f>
        <v>98932.2248359204</v>
      </c>
      <c r="AW78" s="26" t="n">
        <f aca="false">AV80</f>
        <v>108229.570030587</v>
      </c>
      <c r="AX78" s="26" t="n">
        <f aca="false">AW80</f>
        <v>111262.43493512</v>
      </c>
      <c r="AY78" s="26" t="n">
        <f aca="false">AX80</f>
        <v>108657.230113787</v>
      </c>
      <c r="AZ78" s="26" t="n">
        <f aca="false">AY80</f>
        <v>96911.2789990897</v>
      </c>
      <c r="BA78" s="26" t="n">
        <f aca="false">AZ80</f>
        <v>80807.3573623963</v>
      </c>
      <c r="BB78" s="26" t="n">
        <f aca="false">BA80</f>
        <v>79158.8335795697</v>
      </c>
      <c r="BC78" s="26" t="n">
        <f aca="false">BB80</f>
        <v>81549.0094874097</v>
      </c>
      <c r="BD78" s="26" t="n">
        <f aca="false">BC80</f>
        <v>95939.8930475164</v>
      </c>
      <c r="BE78" s="26" t="n">
        <f aca="false">BD80</f>
        <v>123831.572716423</v>
      </c>
      <c r="BF78" s="26" t="n">
        <f aca="false">BE80</f>
        <v>158531.346149596</v>
      </c>
      <c r="BG78" s="26" t="n">
        <f aca="false">BF80</f>
        <v>178370.80274693</v>
      </c>
      <c r="BH78" s="26" t="n">
        <f aca="false">BG80</f>
        <v>194035.607580892</v>
      </c>
      <c r="BI78" s="26" t="n">
        <f aca="false">BH80</f>
        <v>204448.634198919</v>
      </c>
      <c r="BJ78" s="26" t="n">
        <f aca="false">BI80</f>
        <v>207845.442891996</v>
      </c>
    </row>
    <row r="79" customFormat="false" ht="15" hidden="false" customHeight="false" outlineLevel="0" collapsed="false">
      <c r="A79" s="3" t="s">
        <v>252</v>
      </c>
      <c r="B79" s="9"/>
      <c r="C79" s="14" t="n">
        <f aca="false">MAX(0,Assumptions!$F$85-(C78+C77))</f>
        <v>0</v>
      </c>
      <c r="D79" s="14" t="n">
        <f aca="false">MAX(0,Assumptions!$F$85-(D78+D77))</f>
        <v>0</v>
      </c>
      <c r="E79" s="14" t="n">
        <f aca="false">MAX(0,Assumptions!$F$85-(E78+E77))</f>
        <v>0</v>
      </c>
      <c r="F79" s="14" t="n">
        <f aca="false">MAX(0,Assumptions!$F$85-(F78+F77))</f>
        <v>4950</v>
      </c>
      <c r="G79" s="14" t="n">
        <f aca="false">MAX(0,Assumptions!$F$85-(G78+G77))</f>
        <v>23496.6666666667</v>
      </c>
      <c r="H79" s="14" t="n">
        <f aca="false">MAX(0,Assumptions!$F$85-(H78+H77))</f>
        <v>12696.6666666667</v>
      </c>
      <c r="I79" s="14" t="n">
        <f aca="false">MAX(0,Assumptions!$F$85-(I78+I77))</f>
        <v>12430</v>
      </c>
      <c r="J79" s="14" t="n">
        <f aca="false">MAX(0,Assumptions!$F$85-(J78+J77))</f>
        <v>14036</v>
      </c>
      <c r="K79" s="14" t="n">
        <f aca="false">MAX(0,Assumptions!$F$85-(K78+K77))</f>
        <v>5540</v>
      </c>
      <c r="L79" s="14" t="n">
        <f aca="false">MAX(0,Assumptions!$F$85-(L78+L77))</f>
        <v>7922.85438137314</v>
      </c>
      <c r="M79" s="14" t="n">
        <f aca="false">MAX(0,Assumptions!$F$85-(M78+M77))</f>
        <v>9197.52104803981</v>
      </c>
      <c r="N79" s="14" t="n">
        <f aca="false">MAX(0,Assumptions!$F$85-(N78+N77))</f>
        <v>9904.18771470647</v>
      </c>
      <c r="O79" s="14" t="n">
        <f aca="false">MAX(0,Assumptions!$F$85-(O78+O77))</f>
        <v>8133.76104803981</v>
      </c>
      <c r="P79" s="14" t="n">
        <f aca="false">MAX(0,Assumptions!$F$85-(P78+P77))</f>
        <v>13713.0943813731</v>
      </c>
      <c r="Q79" s="14" t="n">
        <f aca="false">MAX(0,Assumptions!$F$85-(Q78+Q77))</f>
        <v>3112.66771470647</v>
      </c>
      <c r="R79" s="14" t="n">
        <f aca="false">MAX(0,Assumptions!$F$85-(R78+R77))</f>
        <v>96743.4730480398</v>
      </c>
      <c r="S79" s="14" t="n">
        <f aca="false">MAX(0,Assumptions!$F$85-(S78+S77))</f>
        <v>8394.88638137314</v>
      </c>
      <c r="T79" s="14" t="n">
        <f aca="false">MAX(0,Assumptions!$F$85-(T78+T77))</f>
        <v>8930.69438137314</v>
      </c>
      <c r="U79" s="14" t="n">
        <f aca="false">MAX(0,Assumptions!$F$85-(U78+U77))</f>
        <v>8930.69438137314</v>
      </c>
      <c r="V79" s="14" t="n">
        <f aca="false">MAX(0,Assumptions!$F$85-(V78+V77))</f>
        <v>10729.4143813731</v>
      </c>
      <c r="W79" s="14" t="n">
        <f aca="false">MAX(0,Assumptions!$F$85-(W78+W77))</f>
        <v>1213.89438137313</v>
      </c>
      <c r="X79" s="14" t="n">
        <f aca="false">MAX(0,Assumptions!$F$85-(X78+X77))</f>
        <v>2457.24371470647</v>
      </c>
      <c r="Y79" s="14" t="n">
        <f aca="false">MAX(0,Assumptions!$F$85-(Y78+Y77))</f>
        <v>8431.92104803981</v>
      </c>
      <c r="Z79" s="14" t="n">
        <f aca="false">MAX(0,Assumptions!$F$85-(Z78+Z77))</f>
        <v>11824.0277147065</v>
      </c>
      <c r="AA79" s="14" t="n">
        <f aca="false">MAX(0,Assumptions!$F$85-(AA78+AA77))</f>
        <v>10189.3429147065</v>
      </c>
      <c r="AB79" s="14" t="n">
        <f aca="false">MAX(0,Assumptions!$F$85-(AB78+AB77))</f>
        <v>17420.8021147065</v>
      </c>
      <c r="AC79" s="14" t="n">
        <f aca="false">MAX(0,Assumptions!$F$85-(AC78+AC77))</f>
        <v>5897.04744803981</v>
      </c>
      <c r="AD79" s="14" t="n">
        <f aca="false">MAX(0,Assumptions!$F$85-(AD78+AD77))</f>
        <v>2677.42078137314</v>
      </c>
      <c r="AE79" s="14" t="n">
        <f aca="false">MAX(0,Assumptions!$F$85-(AE78+AE77))</f>
        <v>0</v>
      </c>
      <c r="AF79" s="14" t="n">
        <f aca="false">MAX(0,Assumptions!$F$85-(AF78+AF77))</f>
        <v>0</v>
      </c>
      <c r="AG79" s="14" t="n">
        <f aca="false">MAX(0,Assumptions!$F$85-(AG78+AG77))</f>
        <v>0</v>
      </c>
      <c r="AH79" s="14" t="n">
        <f aca="false">MAX(0,Assumptions!$F$85-(AH78+AH77))</f>
        <v>0</v>
      </c>
      <c r="AI79" s="14" t="n">
        <f aca="false">MAX(0,Assumptions!$F$85-(AI78+AI77))</f>
        <v>0</v>
      </c>
      <c r="AJ79" s="14" t="n">
        <f aca="false">MAX(0,Assumptions!$F$85-(AJ78+AJ77))</f>
        <v>0</v>
      </c>
      <c r="AK79" s="14" t="n">
        <f aca="false">MAX(0,Assumptions!$F$85-(AK78+AK77))</f>
        <v>0</v>
      </c>
      <c r="AL79" s="14" t="n">
        <f aca="false">MAX(0,Assumptions!$F$85-(AL78+AL77))</f>
        <v>0</v>
      </c>
      <c r="AM79" s="14" t="n">
        <f aca="false">MAX(0,Assumptions!$F$85-(AM78+AM77))</f>
        <v>0</v>
      </c>
      <c r="AN79" s="14" t="n">
        <f aca="false">MAX(0,Assumptions!$F$85-(AN78+AN77))</f>
        <v>0</v>
      </c>
      <c r="AO79" s="14" t="n">
        <f aca="false">MAX(0,Assumptions!$F$85-(AO78+AO77))</f>
        <v>0</v>
      </c>
      <c r="AP79" s="14" t="n">
        <f aca="false">MAX(0,Assumptions!$F$85-(AP78+AP77))</f>
        <v>0</v>
      </c>
      <c r="AQ79" s="14" t="n">
        <f aca="false">MAX(0,Assumptions!$F$85-(AQ78+AQ77))</f>
        <v>0</v>
      </c>
      <c r="AR79" s="14" t="n">
        <f aca="false">MAX(0,Assumptions!$F$85-(AR78+AR77))</f>
        <v>0</v>
      </c>
      <c r="AS79" s="14" t="n">
        <f aca="false">MAX(0,Assumptions!$F$85-(AS78+AS77))</f>
        <v>0</v>
      </c>
      <c r="AT79" s="14" t="n">
        <f aca="false">MAX(0,Assumptions!$F$85-(AT78+AT77))</f>
        <v>0</v>
      </c>
      <c r="AU79" s="14" t="n">
        <f aca="false">MAX(0,Assumptions!$F$85-(AU78+AU77))</f>
        <v>0</v>
      </c>
      <c r="AV79" s="14" t="n">
        <f aca="false">MAX(0,Assumptions!$F$85-(AV78+AV77))</f>
        <v>0</v>
      </c>
      <c r="AW79" s="14" t="n">
        <f aca="false">MAX(0,Assumptions!$F$85-(AW78+AW77))</f>
        <v>0</v>
      </c>
      <c r="AX79" s="14" t="n">
        <f aca="false">MAX(0,Assumptions!$F$85-(AX78+AX77))</f>
        <v>0</v>
      </c>
      <c r="AY79" s="14" t="n">
        <f aca="false">MAX(0,Assumptions!$F$85-(AY78+AY77))</f>
        <v>0</v>
      </c>
      <c r="AZ79" s="14" t="n">
        <f aca="false">MAX(0,Assumptions!$F$85-(AZ78+AZ77))</f>
        <v>0</v>
      </c>
      <c r="BA79" s="14" t="n">
        <f aca="false">MAX(0,Assumptions!$F$85-(BA78+BA77))</f>
        <v>0</v>
      </c>
      <c r="BB79" s="14" t="n">
        <f aca="false">MAX(0,Assumptions!$F$85-(BB78+BB77))</f>
        <v>0</v>
      </c>
      <c r="BC79" s="14" t="n">
        <f aca="false">MAX(0,Assumptions!$F$85-(BC78+BC77))</f>
        <v>0</v>
      </c>
      <c r="BD79" s="14" t="n">
        <f aca="false">MAX(0,Assumptions!$F$85-(BD78+BD77))</f>
        <v>0</v>
      </c>
      <c r="BE79" s="14" t="n">
        <f aca="false">MAX(0,Assumptions!$F$85-(BE78+BE77))</f>
        <v>0</v>
      </c>
      <c r="BF79" s="14" t="n">
        <f aca="false">MAX(0,Assumptions!$F$85-(BF78+BF77))</f>
        <v>0</v>
      </c>
      <c r="BG79" s="14" t="n">
        <f aca="false">MAX(0,Assumptions!$F$85-(BG78+BG77))</f>
        <v>0</v>
      </c>
      <c r="BH79" s="14" t="n">
        <f aca="false">MAX(0,Assumptions!$F$85-(BH78+BH77))</f>
        <v>0</v>
      </c>
      <c r="BI79" s="14" t="n">
        <f aca="false">MAX(0,Assumptions!$F$85-(BI78+BI77))</f>
        <v>0</v>
      </c>
      <c r="BJ79" s="14" t="n">
        <f aca="false">MAX(0,Assumptions!$F$85-(BJ78+BJ77))</f>
        <v>0</v>
      </c>
    </row>
    <row r="80" customFormat="false" ht="15" hidden="false" customHeight="false" outlineLevel="0" collapsed="false">
      <c r="A80" s="3" t="s">
        <v>253</v>
      </c>
      <c r="B80" s="9"/>
      <c r="C80" s="14" t="n">
        <f aca="false">C78+C77+C79</f>
        <v>20000</v>
      </c>
      <c r="D80" s="14" t="n">
        <f aca="false">D78+D77+D79</f>
        <v>18000</v>
      </c>
      <c r="E80" s="14" t="n">
        <f aca="false">E78+E77+E79</f>
        <v>138000</v>
      </c>
      <c r="F80" s="14" t="n">
        <f aca="false">F78+F77+F79</f>
        <v>5000</v>
      </c>
      <c r="G80" s="14" t="n">
        <f aca="false">G78+G77+G79</f>
        <v>5000</v>
      </c>
      <c r="H80" s="14" t="n">
        <f aca="false">H78+H77+H79</f>
        <v>5000</v>
      </c>
      <c r="I80" s="14" t="n">
        <f aca="false">I78+I77+I79</f>
        <v>5000</v>
      </c>
      <c r="J80" s="14" t="n">
        <f aca="false">J78+J77+J79</f>
        <v>5000</v>
      </c>
      <c r="K80" s="14" t="n">
        <f aca="false">K78+K77+K79</f>
        <v>5000</v>
      </c>
      <c r="L80" s="14" t="n">
        <f aca="false">L78+L77+L79</f>
        <v>5000</v>
      </c>
      <c r="M80" s="14" t="n">
        <f aca="false">M78+M77+M79</f>
        <v>5000</v>
      </c>
      <c r="N80" s="14" t="n">
        <f aca="false">N78+N77+N79</f>
        <v>5000</v>
      </c>
      <c r="O80" s="14" t="n">
        <f aca="false">O78+O77+O79</f>
        <v>5000</v>
      </c>
      <c r="P80" s="14" t="n">
        <f aca="false">P78+P77+P79</f>
        <v>5000</v>
      </c>
      <c r="Q80" s="14" t="n">
        <f aca="false">Q78+Q77+Q79</f>
        <v>5000</v>
      </c>
      <c r="R80" s="14" t="n">
        <f aca="false">R78+R77+R79</f>
        <v>5000</v>
      </c>
      <c r="S80" s="14" t="n">
        <f aca="false">S78+S77+S79</f>
        <v>5000</v>
      </c>
      <c r="T80" s="14" t="n">
        <f aca="false">T78+T77+T79</f>
        <v>5000</v>
      </c>
      <c r="U80" s="14" t="n">
        <f aca="false">U78+U77+U79</f>
        <v>5000</v>
      </c>
      <c r="V80" s="14" t="n">
        <f aca="false">V78+V77+V79</f>
        <v>5000</v>
      </c>
      <c r="W80" s="14" t="n">
        <f aca="false">W78+W77+W79</f>
        <v>5000</v>
      </c>
      <c r="X80" s="14" t="n">
        <f aca="false">X78+X77+X79</f>
        <v>5000</v>
      </c>
      <c r="Y80" s="14" t="n">
        <f aca="false">Y78+Y77+Y79</f>
        <v>5000</v>
      </c>
      <c r="Z80" s="14" t="n">
        <f aca="false">Z78+Z77+Z79</f>
        <v>5000</v>
      </c>
      <c r="AA80" s="14" t="n">
        <f aca="false">AA78+AA77+AA79</f>
        <v>5000</v>
      </c>
      <c r="AB80" s="14" t="n">
        <f aca="false">AB78+AB77+AB79</f>
        <v>5000</v>
      </c>
      <c r="AC80" s="14" t="n">
        <f aca="false">AC78+AC77+AC79</f>
        <v>5000</v>
      </c>
      <c r="AD80" s="14" t="n">
        <f aca="false">AD78+AD77+AD79</f>
        <v>5000</v>
      </c>
      <c r="AE80" s="14" t="n">
        <f aca="false">AE78+AE77+AE79</f>
        <v>11889.4698852935</v>
      </c>
      <c r="AF80" s="14" t="n">
        <f aca="false">AF78+AF77+AF79</f>
        <v>29541.6917705871</v>
      </c>
      <c r="AG80" s="14" t="n">
        <f aca="false">AG78+AG77+AG79</f>
        <v>52621.2843225472</v>
      </c>
      <c r="AH80" s="14" t="n">
        <f aca="false">AH78+AH77+AH79</f>
        <v>60896.1135678408</v>
      </c>
      <c r="AI80" s="14" t="n">
        <f aca="false">AI78+AI77+AI79</f>
        <v>67257.7319331343</v>
      </c>
      <c r="AJ80" s="14" t="n">
        <f aca="false">AJ78+AJ77+AJ79</f>
        <v>70976.0786184279</v>
      </c>
      <c r="AK80" s="14" t="n">
        <f aca="false">AK78+AK77+AK79</f>
        <v>69101.1393303881</v>
      </c>
      <c r="AL80" s="14" t="n">
        <f aca="false">AL78+AL77+AL79</f>
        <v>62192.2092156816</v>
      </c>
      <c r="AM80" s="14" t="n">
        <f aca="false">AM78+AM77+AM79</f>
        <v>48876.9093674388</v>
      </c>
      <c r="AN80" s="14" t="n">
        <f aca="false">AN78+AN77+AN79</f>
        <v>29915.5535247323</v>
      </c>
      <c r="AO80" s="14" t="n">
        <f aca="false">AO78+AO77+AO79</f>
        <v>23860.8029086925</v>
      </c>
      <c r="AP80" s="14" t="n">
        <f aca="false">AP78+AP77+AP79</f>
        <v>21412.0341593194</v>
      </c>
      <c r="AQ80" s="14" t="n">
        <f aca="false">AQ78+AQ77+AQ79</f>
        <v>29678.1829566129</v>
      </c>
      <c r="AR80" s="14" t="n">
        <f aca="false">AR78+AR77+AR79</f>
        <v>49998.6139939064</v>
      </c>
      <c r="AS80" s="14" t="n">
        <f aca="false">AS78+AS77+AS79</f>
        <v>76397.7001778667</v>
      </c>
      <c r="AT80" s="14" t="n">
        <f aca="false">AT78+AT77+AT79</f>
        <v>89528.6463298269</v>
      </c>
      <c r="AU80" s="14" t="n">
        <f aca="false">AU78+AU77+AU79</f>
        <v>98932.2248359204</v>
      </c>
      <c r="AV80" s="14" t="n">
        <f aca="false">AV78+AV77+AV79</f>
        <v>108229.570030587</v>
      </c>
      <c r="AW80" s="14" t="n">
        <f aca="false">AW78+AW77+AW79</f>
        <v>111262.43493512</v>
      </c>
      <c r="AX80" s="14" t="n">
        <f aca="false">AX78+AX77+AX79</f>
        <v>108657.230113787</v>
      </c>
      <c r="AY80" s="14" t="n">
        <f aca="false">AY78+AY77+AY79</f>
        <v>96911.2789990897</v>
      </c>
      <c r="AZ80" s="14" t="n">
        <f aca="false">AZ78+AZ77+AZ79</f>
        <v>80807.3573623963</v>
      </c>
      <c r="BA80" s="14" t="n">
        <f aca="false">BA78+BA77+BA79</f>
        <v>79158.8335795697</v>
      </c>
      <c r="BB80" s="14" t="n">
        <f aca="false">BB78+BB77+BB79</f>
        <v>81549.0094874097</v>
      </c>
      <c r="BC80" s="14" t="n">
        <f aca="false">BC78+BC77+BC79</f>
        <v>95939.8930475164</v>
      </c>
      <c r="BD80" s="14" t="n">
        <f aca="false">BD78+BD77+BD79</f>
        <v>123831.572716423</v>
      </c>
      <c r="BE80" s="14" t="n">
        <f aca="false">BE78+BE77+BE79</f>
        <v>158531.346149596</v>
      </c>
      <c r="BF80" s="14" t="n">
        <f aca="false">BF78+BF77+BF79</f>
        <v>178370.80274693</v>
      </c>
      <c r="BG80" s="14" t="n">
        <f aca="false">BG78+BG77+BG79</f>
        <v>194035.607580892</v>
      </c>
      <c r="BH80" s="14" t="n">
        <f aca="false">BH78+BH77+BH79</f>
        <v>204448.634198919</v>
      </c>
      <c r="BI80" s="14" t="n">
        <f aca="false">BI78+BI77+BI79</f>
        <v>207845.442891996</v>
      </c>
      <c r="BJ80" s="14" t="n">
        <f aca="false">BJ78+BJ77+BJ79</f>
        <v>204927.613492103</v>
      </c>
    </row>
    <row r="81" customFormat="false" ht="15" hidden="false" customHeight="false" outlineLevel="0" collapsed="false">
      <c r="A81" s="9" t="s">
        <v>254</v>
      </c>
      <c r="B81" s="9"/>
      <c r="C81" s="26" t="n">
        <f aca="false">C79</f>
        <v>0</v>
      </c>
      <c r="D81" s="26" t="n">
        <f aca="false">C81+D79</f>
        <v>0</v>
      </c>
      <c r="E81" s="26" t="n">
        <f aca="false">D81+E79</f>
        <v>0</v>
      </c>
      <c r="F81" s="26" t="n">
        <f aca="false">E81+F79</f>
        <v>4950</v>
      </c>
      <c r="G81" s="26" t="n">
        <f aca="false">F81+G79</f>
        <v>28446.6666666667</v>
      </c>
      <c r="H81" s="26" t="n">
        <f aca="false">G81+H79</f>
        <v>41143.3333333333</v>
      </c>
      <c r="I81" s="26" t="n">
        <f aca="false">H81+I79</f>
        <v>53573.3333333333</v>
      </c>
      <c r="J81" s="26" t="n">
        <f aca="false">I81+J79</f>
        <v>67609.3333333333</v>
      </c>
      <c r="K81" s="26" t="n">
        <f aca="false">J81+K79</f>
        <v>73149.3333333333</v>
      </c>
      <c r="L81" s="26" t="n">
        <f aca="false">K81+L79</f>
        <v>81072.1877147065</v>
      </c>
      <c r="M81" s="26" t="n">
        <f aca="false">L81+M79</f>
        <v>90269.7087627463</v>
      </c>
      <c r="N81" s="26" t="n">
        <f aca="false">M81+N79</f>
        <v>100173.896477453</v>
      </c>
      <c r="O81" s="26" t="n">
        <f aca="false">N81+O79</f>
        <v>108307.657525493</v>
      </c>
      <c r="P81" s="26" t="n">
        <f aca="false">O81+P79</f>
        <v>122020.751906866</v>
      </c>
      <c r="Q81" s="26" t="n">
        <f aca="false">P81+Q79</f>
        <v>125133.419621572</v>
      </c>
      <c r="R81" s="26" t="n">
        <f aca="false">Q81+R79</f>
        <v>221876.892669612</v>
      </c>
      <c r="S81" s="26" t="n">
        <f aca="false">R81+S79</f>
        <v>230271.779050985</v>
      </c>
      <c r="T81" s="26" t="n">
        <f aca="false">S81+T79</f>
        <v>239202.473432358</v>
      </c>
      <c r="U81" s="26" t="n">
        <f aca="false">T81+U79</f>
        <v>248133.167813731</v>
      </c>
      <c r="V81" s="26" t="n">
        <f aca="false">U81+V79</f>
        <v>258862.582195105</v>
      </c>
      <c r="W81" s="26" t="n">
        <f aca="false">V81+W79</f>
        <v>260076.476576478</v>
      </c>
      <c r="X81" s="26" t="n">
        <f aca="false">W81+X79</f>
        <v>262533.720291184</v>
      </c>
      <c r="Y81" s="26" t="n">
        <f aca="false">X81+Y79</f>
        <v>270965.641339224</v>
      </c>
      <c r="Z81" s="26" t="n">
        <f aca="false">Y81+Z79</f>
        <v>282789.669053931</v>
      </c>
      <c r="AA81" s="26" t="n">
        <f aca="false">Z81+AA79</f>
        <v>292979.011968637</v>
      </c>
      <c r="AB81" s="26" t="n">
        <f aca="false">AA81+AB79</f>
        <v>310399.814083344</v>
      </c>
      <c r="AC81" s="26" t="n">
        <f aca="false">AB81+AC79</f>
        <v>316296.861531383</v>
      </c>
      <c r="AD81" s="26" t="n">
        <f aca="false">AC81+AD79</f>
        <v>318974.282312756</v>
      </c>
      <c r="AE81" s="26" t="n">
        <f aca="false">AD81+AE79</f>
        <v>318974.282312756</v>
      </c>
      <c r="AF81" s="26" t="n">
        <f aca="false">AE81+AF79</f>
        <v>318974.282312756</v>
      </c>
      <c r="AG81" s="26" t="n">
        <f aca="false">AF81+AG79</f>
        <v>318974.282312756</v>
      </c>
      <c r="AH81" s="26" t="n">
        <f aca="false">AG81+AH79</f>
        <v>318974.282312756</v>
      </c>
      <c r="AI81" s="26" t="n">
        <f aca="false">AH81+AI79</f>
        <v>318974.282312756</v>
      </c>
      <c r="AJ81" s="26" t="n">
        <f aca="false">AI81+AJ79</f>
        <v>318974.282312756</v>
      </c>
      <c r="AK81" s="26" t="n">
        <f aca="false">AJ81+AK79</f>
        <v>318974.282312756</v>
      </c>
      <c r="AL81" s="26" t="n">
        <f aca="false">AK81+AL79</f>
        <v>318974.282312756</v>
      </c>
      <c r="AM81" s="26" t="n">
        <f aca="false">AL81+AM79</f>
        <v>318974.282312756</v>
      </c>
      <c r="AN81" s="26" t="n">
        <f aca="false">AM81+AN79</f>
        <v>318974.282312756</v>
      </c>
      <c r="AO81" s="26" t="n">
        <f aca="false">AN81+AO79</f>
        <v>318974.282312756</v>
      </c>
      <c r="AP81" s="26" t="n">
        <f aca="false">AO81+AP79</f>
        <v>318974.282312756</v>
      </c>
      <c r="AQ81" s="26" t="n">
        <f aca="false">AP81+AQ79</f>
        <v>318974.282312756</v>
      </c>
      <c r="AR81" s="26" t="n">
        <f aca="false">AQ81+AR79</f>
        <v>318974.282312756</v>
      </c>
      <c r="AS81" s="26" t="n">
        <f aca="false">AR81+AS79</f>
        <v>318974.282312756</v>
      </c>
      <c r="AT81" s="26" t="n">
        <f aca="false">AS81+AT79</f>
        <v>318974.282312756</v>
      </c>
      <c r="AU81" s="26" t="n">
        <f aca="false">AT81+AU79</f>
        <v>318974.282312756</v>
      </c>
      <c r="AV81" s="26" t="n">
        <f aca="false">AU81+AV79</f>
        <v>318974.282312756</v>
      </c>
      <c r="AW81" s="26" t="n">
        <f aca="false">AV81+AW79</f>
        <v>318974.282312756</v>
      </c>
      <c r="AX81" s="26" t="n">
        <f aca="false">AW81+AX79</f>
        <v>318974.282312756</v>
      </c>
      <c r="AY81" s="26" t="n">
        <f aca="false">AX81+AY79</f>
        <v>318974.282312756</v>
      </c>
      <c r="AZ81" s="26" t="n">
        <f aca="false">AY81+AZ79</f>
        <v>318974.282312756</v>
      </c>
      <c r="BA81" s="26" t="n">
        <f aca="false">AZ81+BA79</f>
        <v>318974.282312756</v>
      </c>
      <c r="BB81" s="26" t="n">
        <f aca="false">BA81+BB79</f>
        <v>318974.282312756</v>
      </c>
      <c r="BC81" s="26" t="n">
        <f aca="false">BB81+BC79</f>
        <v>318974.282312756</v>
      </c>
      <c r="BD81" s="26" t="n">
        <f aca="false">BC81+BD79</f>
        <v>318974.282312756</v>
      </c>
      <c r="BE81" s="26" t="n">
        <f aca="false">BD81+BE79</f>
        <v>318974.282312756</v>
      </c>
      <c r="BF81" s="26" t="n">
        <f aca="false">BE81+BF79</f>
        <v>318974.282312756</v>
      </c>
      <c r="BG81" s="26" t="n">
        <f aca="false">BF81+BG79</f>
        <v>318974.282312756</v>
      </c>
      <c r="BH81" s="26" t="n">
        <f aca="false">BG81+BH79</f>
        <v>318974.282312756</v>
      </c>
      <c r="BI81" s="26" t="n">
        <f aca="false">BH81+BI79</f>
        <v>318974.282312756</v>
      </c>
      <c r="BJ81" s="26" t="n">
        <f aca="false">BI81+BJ79</f>
        <v>318974.282312756</v>
      </c>
    </row>
    <row r="82" customFormat="false" ht="15" hidden="false" customHeight="false" outlineLevel="0" collapsed="false">
      <c r="A82" s="9" t="s">
        <v>255</v>
      </c>
      <c r="B82" s="9"/>
      <c r="C82" s="26" t="n">
        <f aca="false">C60</f>
        <v>0</v>
      </c>
      <c r="D82" s="26" t="n">
        <f aca="false">C82+D60</f>
        <v>0</v>
      </c>
      <c r="E82" s="26" t="n">
        <f aca="false">D82+E60</f>
        <v>0</v>
      </c>
      <c r="F82" s="26" t="n">
        <f aca="false">E82+F60</f>
        <v>128000</v>
      </c>
      <c r="G82" s="26" t="n">
        <f aca="false">F82+G60</f>
        <v>128000</v>
      </c>
      <c r="H82" s="26" t="n">
        <f aca="false">G82+H60</f>
        <v>128000</v>
      </c>
      <c r="I82" s="26" t="n">
        <f aca="false">H82+I60</f>
        <v>128000</v>
      </c>
      <c r="J82" s="26" t="n">
        <f aca="false">I82+J60</f>
        <v>128000</v>
      </c>
      <c r="K82" s="26" t="n">
        <f aca="false">J82+K60</f>
        <v>128000</v>
      </c>
      <c r="L82" s="26" t="n">
        <f aca="false">K82+L60</f>
        <v>128000</v>
      </c>
      <c r="M82" s="26" t="n">
        <f aca="false">L82+M60</f>
        <v>128000</v>
      </c>
      <c r="N82" s="26" t="n">
        <f aca="false">M82+N60</f>
        <v>128000</v>
      </c>
      <c r="O82" s="26" t="n">
        <f aca="false">N82+O60</f>
        <v>128000</v>
      </c>
      <c r="P82" s="26" t="n">
        <f aca="false">O82+P60</f>
        <v>128000</v>
      </c>
      <c r="Q82" s="26" t="n">
        <f aca="false">P82+Q60</f>
        <v>128000</v>
      </c>
      <c r="R82" s="26" t="n">
        <f aca="false">Q82+R60</f>
        <v>223200</v>
      </c>
      <c r="S82" s="26" t="n">
        <f aca="false">R82+S60</f>
        <v>223200</v>
      </c>
      <c r="T82" s="26" t="n">
        <f aca="false">S82+T60</f>
        <v>223200</v>
      </c>
      <c r="U82" s="26" t="n">
        <f aca="false">T82+U60</f>
        <v>223200</v>
      </c>
      <c r="V82" s="26" t="n">
        <f aca="false">U82+V60</f>
        <v>223200</v>
      </c>
      <c r="W82" s="26" t="n">
        <f aca="false">V82+W60</f>
        <v>223200</v>
      </c>
      <c r="X82" s="26" t="n">
        <f aca="false">W82+X60</f>
        <v>223200</v>
      </c>
      <c r="Y82" s="26" t="n">
        <f aca="false">X82+Y60</f>
        <v>223200</v>
      </c>
      <c r="Z82" s="26" t="n">
        <f aca="false">Y82+Z60</f>
        <v>223200</v>
      </c>
      <c r="AA82" s="26" t="n">
        <f aca="false">Z82+AA60</f>
        <v>223200</v>
      </c>
      <c r="AB82" s="26" t="n">
        <f aca="false">AA82+AB60</f>
        <v>223200</v>
      </c>
      <c r="AC82" s="26" t="n">
        <f aca="false">AB82+AC60</f>
        <v>223200</v>
      </c>
      <c r="AD82" s="26" t="n">
        <f aca="false">AC82+AD60</f>
        <v>223200</v>
      </c>
      <c r="AE82" s="26" t="n">
        <f aca="false">AD82+AE60</f>
        <v>223200</v>
      </c>
      <c r="AF82" s="26" t="n">
        <f aca="false">AE82+AF60</f>
        <v>223200</v>
      </c>
      <c r="AG82" s="26" t="n">
        <f aca="false">AF82+AG60</f>
        <v>223200</v>
      </c>
      <c r="AH82" s="26" t="n">
        <f aca="false">AG82+AH60</f>
        <v>223200</v>
      </c>
      <c r="AI82" s="26" t="n">
        <f aca="false">AH82+AI60</f>
        <v>223200</v>
      </c>
      <c r="AJ82" s="26" t="n">
        <f aca="false">AI82+AJ60</f>
        <v>223200</v>
      </c>
      <c r="AK82" s="26" t="n">
        <f aca="false">AJ82+AK60</f>
        <v>223200</v>
      </c>
      <c r="AL82" s="26" t="n">
        <f aca="false">AK82+AL60</f>
        <v>223200</v>
      </c>
      <c r="AM82" s="26" t="n">
        <f aca="false">AL82+AM60</f>
        <v>223200</v>
      </c>
      <c r="AN82" s="26" t="n">
        <f aca="false">AM82+AN60</f>
        <v>223200</v>
      </c>
      <c r="AO82" s="26" t="n">
        <f aca="false">AN82+AO60</f>
        <v>223200</v>
      </c>
      <c r="AP82" s="26" t="n">
        <f aca="false">AO82+AP60</f>
        <v>223200</v>
      </c>
      <c r="AQ82" s="26" t="n">
        <f aca="false">AP82+AQ60</f>
        <v>223200</v>
      </c>
      <c r="AR82" s="26" t="n">
        <f aca="false">AQ82+AR60</f>
        <v>223200</v>
      </c>
      <c r="AS82" s="26" t="n">
        <f aca="false">AR82+AS60</f>
        <v>223200</v>
      </c>
      <c r="AT82" s="26" t="n">
        <f aca="false">AS82+AT60</f>
        <v>223200</v>
      </c>
      <c r="AU82" s="26" t="n">
        <f aca="false">AT82+AU60</f>
        <v>223200</v>
      </c>
      <c r="AV82" s="26" t="n">
        <f aca="false">AU82+AV60</f>
        <v>223200</v>
      </c>
      <c r="AW82" s="26" t="n">
        <f aca="false">AV82+AW60</f>
        <v>223200</v>
      </c>
      <c r="AX82" s="26" t="n">
        <f aca="false">AW82+AX60</f>
        <v>223200</v>
      </c>
      <c r="AY82" s="26" t="n">
        <f aca="false">AX82+AY60</f>
        <v>223200</v>
      </c>
      <c r="AZ82" s="26" t="n">
        <f aca="false">AY82+AZ60</f>
        <v>223200</v>
      </c>
      <c r="BA82" s="26" t="n">
        <f aca="false">AZ82+BA60</f>
        <v>223200</v>
      </c>
      <c r="BB82" s="26" t="n">
        <f aca="false">BA82+BB60</f>
        <v>223200</v>
      </c>
      <c r="BC82" s="26" t="n">
        <f aca="false">BB82+BC60</f>
        <v>223200</v>
      </c>
      <c r="BD82" s="26" t="n">
        <f aca="false">BC82+BD60</f>
        <v>223200</v>
      </c>
      <c r="BE82" s="26" t="n">
        <f aca="false">BD82+BE60</f>
        <v>223200</v>
      </c>
      <c r="BF82" s="26" t="n">
        <f aca="false">BE82+BF60</f>
        <v>223200</v>
      </c>
      <c r="BG82" s="26" t="n">
        <f aca="false">BF82+BG60</f>
        <v>223200</v>
      </c>
      <c r="BH82" s="26" t="n">
        <f aca="false">BG82+BH60</f>
        <v>223200</v>
      </c>
      <c r="BI82" s="26" t="n">
        <f aca="false">BH82+BI60</f>
        <v>223200</v>
      </c>
      <c r="BJ82" s="26" t="n">
        <f aca="false">BI82+BJ60</f>
        <v>223200</v>
      </c>
    </row>
    <row r="83" customFormat="false" ht="15" hidden="false" customHeight="false" outlineLevel="0" collapsed="false">
      <c r="A83" s="9" t="s">
        <v>256</v>
      </c>
      <c r="B83" s="9"/>
      <c r="C83" s="26" t="n">
        <f aca="false">C62</f>
        <v>0</v>
      </c>
      <c r="D83" s="26" t="n">
        <f aca="false">C83+D62</f>
        <v>0</v>
      </c>
      <c r="E83" s="26" t="n">
        <f aca="false">D83+E62</f>
        <v>0</v>
      </c>
      <c r="F83" s="26" t="n">
        <f aca="false">E83+F62</f>
        <v>0</v>
      </c>
      <c r="G83" s="26" t="n">
        <f aca="false">F83+G62</f>
        <v>1216.66666666667</v>
      </c>
      <c r="H83" s="26" t="n">
        <f aca="false">G83+H62</f>
        <v>2433.33333333333</v>
      </c>
      <c r="I83" s="26" t="n">
        <f aca="false">H83+I62</f>
        <v>3650</v>
      </c>
      <c r="J83" s="26" t="n">
        <f aca="false">I83+J62</f>
        <v>4866.66666666667</v>
      </c>
      <c r="K83" s="26" t="n">
        <f aca="false">J83+K62</f>
        <v>6083.33333333333</v>
      </c>
      <c r="L83" s="26" t="n">
        <f aca="false">K83+L62</f>
        <v>7300</v>
      </c>
      <c r="M83" s="26" t="n">
        <f aca="false">L83+M62</f>
        <v>8516.66666666666</v>
      </c>
      <c r="N83" s="26" t="n">
        <f aca="false">M83+N62</f>
        <v>9733.33333333333</v>
      </c>
      <c r="O83" s="26" t="n">
        <f aca="false">N83+O62</f>
        <v>10950</v>
      </c>
      <c r="P83" s="26" t="n">
        <f aca="false">O83+P62</f>
        <v>12166.6666666667</v>
      </c>
      <c r="Q83" s="26" t="n">
        <f aca="false">P83+Q62</f>
        <v>13383.3333333333</v>
      </c>
      <c r="R83" s="26" t="n">
        <f aca="false">Q83+R62</f>
        <v>14600</v>
      </c>
      <c r="S83" s="26" t="n">
        <f aca="false">R83+S62</f>
        <v>16656.6666666667</v>
      </c>
      <c r="T83" s="26" t="n">
        <f aca="false">S83+T62</f>
        <v>18713.3333333333</v>
      </c>
      <c r="U83" s="26" t="n">
        <f aca="false">T83+U62</f>
        <v>20770</v>
      </c>
      <c r="V83" s="26" t="n">
        <f aca="false">U83+V62</f>
        <v>22826.6666666667</v>
      </c>
      <c r="W83" s="26" t="n">
        <f aca="false">V83+W62</f>
        <v>24883.3333333333</v>
      </c>
      <c r="X83" s="26" t="n">
        <f aca="false">W83+X62</f>
        <v>26940</v>
      </c>
      <c r="Y83" s="26" t="n">
        <f aca="false">X83+Y62</f>
        <v>28996.6666666667</v>
      </c>
      <c r="Z83" s="26" t="n">
        <f aca="false">Y83+Z62</f>
        <v>31053.3333333333</v>
      </c>
      <c r="AA83" s="26" t="n">
        <f aca="false">Z83+AA62</f>
        <v>33110</v>
      </c>
      <c r="AB83" s="26" t="n">
        <f aca="false">AA83+AB62</f>
        <v>35166.6666666667</v>
      </c>
      <c r="AC83" s="26" t="n">
        <f aca="false">AB83+AC62</f>
        <v>37223.3333333333</v>
      </c>
      <c r="AD83" s="26" t="n">
        <f aca="false">AC83+AD62</f>
        <v>39280</v>
      </c>
      <c r="AE83" s="26" t="n">
        <f aca="false">AD83+AE62</f>
        <v>41336.6666666667</v>
      </c>
      <c r="AF83" s="26" t="n">
        <f aca="false">AE83+AF62</f>
        <v>43393.3333333333</v>
      </c>
      <c r="AG83" s="26" t="n">
        <f aca="false">AF83+AG62</f>
        <v>45450</v>
      </c>
      <c r="AH83" s="26" t="n">
        <f aca="false">AG83+AH62</f>
        <v>47506.6666666667</v>
      </c>
      <c r="AI83" s="26" t="n">
        <f aca="false">AH83+AI62</f>
        <v>49563.3333333333</v>
      </c>
      <c r="AJ83" s="26" t="n">
        <f aca="false">AI83+AJ62</f>
        <v>51620</v>
      </c>
      <c r="AK83" s="26" t="n">
        <f aca="false">AJ83+AK62</f>
        <v>53676.6666666666</v>
      </c>
      <c r="AL83" s="26" t="n">
        <f aca="false">AK83+AL62</f>
        <v>55733.3333333333</v>
      </c>
      <c r="AM83" s="26" t="n">
        <f aca="false">AL83+AM62</f>
        <v>57790</v>
      </c>
      <c r="AN83" s="26" t="n">
        <f aca="false">AM83+AN62</f>
        <v>59846.6666666666</v>
      </c>
      <c r="AO83" s="26" t="n">
        <f aca="false">AN83+AO62</f>
        <v>61903.3333333333</v>
      </c>
      <c r="AP83" s="26" t="n">
        <f aca="false">AO83+AP62</f>
        <v>63960</v>
      </c>
      <c r="AQ83" s="26" t="n">
        <f aca="false">AP83+AQ62</f>
        <v>66016.6666666666</v>
      </c>
      <c r="AR83" s="26" t="n">
        <f aca="false">AQ83+AR62</f>
        <v>68073.3333333333</v>
      </c>
      <c r="AS83" s="26" t="n">
        <f aca="false">AR83+AS62</f>
        <v>70130</v>
      </c>
      <c r="AT83" s="26" t="n">
        <f aca="false">AS83+AT62</f>
        <v>72186.6666666666</v>
      </c>
      <c r="AU83" s="26" t="n">
        <f aca="false">AT83+AU62</f>
        <v>74243.3333333333</v>
      </c>
      <c r="AV83" s="26" t="n">
        <f aca="false">AU83+AV62</f>
        <v>76300</v>
      </c>
      <c r="AW83" s="26" t="n">
        <f aca="false">AV83+AW62</f>
        <v>78356.6666666667</v>
      </c>
      <c r="AX83" s="26" t="n">
        <f aca="false">AW83+AX62</f>
        <v>80413.3333333333</v>
      </c>
      <c r="AY83" s="26" t="n">
        <f aca="false">AX83+AY62</f>
        <v>82470</v>
      </c>
      <c r="AZ83" s="26" t="n">
        <f aca="false">AY83+AZ62</f>
        <v>84526.6666666667</v>
      </c>
      <c r="BA83" s="26" t="n">
        <f aca="false">AZ83+BA62</f>
        <v>86583.3333333333</v>
      </c>
      <c r="BB83" s="26" t="n">
        <f aca="false">BA83+BB62</f>
        <v>88640</v>
      </c>
      <c r="BC83" s="26" t="n">
        <f aca="false">BB83+BC62</f>
        <v>90696.6666666667</v>
      </c>
      <c r="BD83" s="26" t="n">
        <f aca="false">BC83+BD62</f>
        <v>92753.3333333334</v>
      </c>
      <c r="BE83" s="26" t="n">
        <f aca="false">BD83+BE62</f>
        <v>94810</v>
      </c>
      <c r="BF83" s="26" t="n">
        <f aca="false">BE83+BF62</f>
        <v>96866.6666666667</v>
      </c>
      <c r="BG83" s="26" t="n">
        <f aca="false">BF83+BG62</f>
        <v>98923.3333333334</v>
      </c>
      <c r="BH83" s="26" t="n">
        <f aca="false">BG83+BH62</f>
        <v>100980</v>
      </c>
      <c r="BI83" s="26" t="n">
        <f aca="false">BH83+BI62</f>
        <v>103036.666666667</v>
      </c>
      <c r="BJ83" s="26" t="n">
        <f aca="false">BI83+BJ62</f>
        <v>105093.333333333</v>
      </c>
    </row>
    <row r="84" customFormat="false" ht="15" hidden="false" customHeight="false" outlineLevel="0" collapsed="false">
      <c r="A84" s="9" t="s">
        <v>257</v>
      </c>
      <c r="B84" s="9"/>
      <c r="C84" s="26" t="n">
        <f aca="false">C61</f>
        <v>0</v>
      </c>
      <c r="D84" s="26" t="n">
        <f aca="false">C84+D61</f>
        <v>0</v>
      </c>
      <c r="E84" s="26" t="n">
        <f aca="false">D84+E61</f>
        <v>0</v>
      </c>
      <c r="F84" s="26" t="n">
        <f aca="false">E84+F61</f>
        <v>0</v>
      </c>
      <c r="G84" s="26" t="n">
        <f aca="false">F84+G61</f>
        <v>0</v>
      </c>
      <c r="H84" s="26" t="n">
        <f aca="false">G84+H61</f>
        <v>0</v>
      </c>
      <c r="I84" s="26" t="n">
        <f aca="false">H84+I61</f>
        <v>0</v>
      </c>
      <c r="J84" s="26" t="n">
        <f aca="false">I84+J61</f>
        <v>0</v>
      </c>
      <c r="K84" s="26" t="n">
        <f aca="false">J84+K61</f>
        <v>0</v>
      </c>
      <c r="L84" s="26" t="n">
        <f aca="false">K84+L61</f>
        <v>0</v>
      </c>
      <c r="M84" s="26" t="n">
        <f aca="false">L84+M61</f>
        <v>0</v>
      </c>
      <c r="N84" s="26" t="n">
        <f aca="false">M84+N61</f>
        <v>0</v>
      </c>
      <c r="O84" s="26" t="n">
        <f aca="false">N84+O61</f>
        <v>0</v>
      </c>
      <c r="P84" s="26" t="n">
        <f aca="false">O84+P61</f>
        <v>0</v>
      </c>
      <c r="Q84" s="26" t="n">
        <f aca="false">P84+Q61</f>
        <v>0</v>
      </c>
      <c r="R84" s="26" t="n">
        <f aca="false">Q84+R61</f>
        <v>0</v>
      </c>
      <c r="S84" s="26" t="n">
        <f aca="false">R84+S61</f>
        <v>0</v>
      </c>
      <c r="T84" s="26" t="n">
        <f aca="false">S84+T61</f>
        <v>0</v>
      </c>
      <c r="U84" s="26" t="n">
        <f aca="false">T84+U61</f>
        <v>0</v>
      </c>
      <c r="V84" s="26" t="n">
        <f aca="false">U84+V61</f>
        <v>0</v>
      </c>
      <c r="W84" s="26" t="n">
        <f aca="false">V84+W61</f>
        <v>0</v>
      </c>
      <c r="X84" s="26" t="n">
        <f aca="false">W84+X61</f>
        <v>0</v>
      </c>
      <c r="Y84" s="26" t="n">
        <f aca="false">X84+Y61</f>
        <v>0</v>
      </c>
      <c r="Z84" s="26" t="n">
        <f aca="false">Y84+Z61</f>
        <v>0</v>
      </c>
      <c r="AA84" s="26" t="n">
        <f aca="false">Z84+AA61</f>
        <v>0</v>
      </c>
      <c r="AB84" s="26" t="n">
        <f aca="false">AA84+AB61</f>
        <v>0</v>
      </c>
      <c r="AC84" s="26" t="n">
        <f aca="false">AB84+AC61</f>
        <v>0</v>
      </c>
      <c r="AD84" s="26" t="n">
        <f aca="false">AC84+AD61</f>
        <v>0</v>
      </c>
      <c r="AE84" s="26" t="n">
        <f aca="false">AD84+AE61</f>
        <v>0</v>
      </c>
      <c r="AF84" s="26" t="n">
        <f aca="false">AE84+AF61</f>
        <v>0</v>
      </c>
      <c r="AG84" s="26" t="n">
        <f aca="false">AF84+AG61</f>
        <v>0</v>
      </c>
      <c r="AH84" s="26" t="n">
        <f aca="false">AG84+AH61</f>
        <v>0</v>
      </c>
      <c r="AI84" s="26" t="n">
        <f aca="false">AH84+AI61</f>
        <v>0</v>
      </c>
      <c r="AJ84" s="26" t="n">
        <f aca="false">AI84+AJ61</f>
        <v>0</v>
      </c>
      <c r="AK84" s="26" t="n">
        <f aca="false">AJ84+AK61</f>
        <v>0</v>
      </c>
      <c r="AL84" s="26" t="n">
        <f aca="false">AK84+AL61</f>
        <v>0</v>
      </c>
      <c r="AM84" s="26" t="n">
        <f aca="false">AL84+AM61</f>
        <v>0</v>
      </c>
      <c r="AN84" s="26" t="n">
        <f aca="false">AM84+AN61</f>
        <v>0</v>
      </c>
      <c r="AO84" s="26" t="n">
        <f aca="false">AN84+AO61</f>
        <v>0</v>
      </c>
      <c r="AP84" s="26" t="n">
        <f aca="false">AO84+AP61</f>
        <v>0</v>
      </c>
      <c r="AQ84" s="26" t="n">
        <f aca="false">AP84+AQ61</f>
        <v>0</v>
      </c>
      <c r="AR84" s="26" t="n">
        <f aca="false">AQ84+AR61</f>
        <v>0</v>
      </c>
      <c r="AS84" s="26" t="n">
        <f aca="false">AR84+AS61</f>
        <v>0</v>
      </c>
      <c r="AT84" s="26" t="n">
        <f aca="false">AS84+AT61</f>
        <v>0</v>
      </c>
      <c r="AU84" s="26" t="n">
        <f aca="false">AT84+AU61</f>
        <v>0</v>
      </c>
      <c r="AV84" s="26" t="n">
        <f aca="false">AU84+AV61</f>
        <v>0</v>
      </c>
      <c r="AW84" s="26" t="n">
        <f aca="false">AV84+AW61</f>
        <v>0</v>
      </c>
      <c r="AX84" s="26" t="n">
        <f aca="false">AW84+AX61</f>
        <v>0</v>
      </c>
      <c r="AY84" s="26" t="n">
        <f aca="false">AX84+AY61</f>
        <v>0</v>
      </c>
      <c r="AZ84" s="26" t="n">
        <f aca="false">AY84+AZ61</f>
        <v>0</v>
      </c>
      <c r="BA84" s="26" t="n">
        <f aca="false">AZ84+BA61</f>
        <v>0</v>
      </c>
      <c r="BB84" s="26" t="n">
        <f aca="false">BA84+BB61</f>
        <v>0</v>
      </c>
      <c r="BC84" s="26" t="n">
        <f aca="false">BB84+BC61</f>
        <v>0</v>
      </c>
      <c r="BD84" s="26" t="n">
        <f aca="false">BC84+BD61</f>
        <v>0</v>
      </c>
      <c r="BE84" s="26" t="n">
        <f aca="false">BD84+BE61</f>
        <v>0</v>
      </c>
      <c r="BF84" s="26" t="n">
        <f aca="false">BE84+BF61</f>
        <v>0</v>
      </c>
      <c r="BG84" s="26" t="n">
        <f aca="false">BF84+BG61</f>
        <v>0</v>
      </c>
      <c r="BH84" s="26" t="n">
        <f aca="false">BG84+BH61</f>
        <v>0</v>
      </c>
      <c r="BI84" s="26" t="n">
        <f aca="false">BH84+BI61</f>
        <v>0</v>
      </c>
      <c r="BJ84" s="26" t="n">
        <f aca="false">BI84+BJ61</f>
        <v>0</v>
      </c>
    </row>
    <row r="85" customFormat="false" ht="15" hidden="false" customHeight="false" outlineLevel="0" collapsed="false">
      <c r="A85" s="9" t="s">
        <v>258</v>
      </c>
      <c r="B85" s="9"/>
      <c r="C85" s="26" t="n">
        <f aca="false">C69</f>
        <v>20000</v>
      </c>
      <c r="D85" s="26" t="n">
        <f aca="false">C85+D69</f>
        <v>20000</v>
      </c>
      <c r="E85" s="26" t="n">
        <f aca="false">D85+E69</f>
        <v>20000</v>
      </c>
      <c r="F85" s="26" t="n">
        <f aca="false">E85+F69</f>
        <v>20000</v>
      </c>
      <c r="G85" s="26" t="n">
        <f aca="false">F85+G69</f>
        <v>20000</v>
      </c>
      <c r="H85" s="26" t="n">
        <f aca="false">G85+H69</f>
        <v>20000</v>
      </c>
      <c r="I85" s="26" t="n">
        <f aca="false">H85+I69</f>
        <v>20000</v>
      </c>
      <c r="J85" s="26" t="n">
        <f aca="false">I85+J69</f>
        <v>20000</v>
      </c>
      <c r="K85" s="26" t="n">
        <f aca="false">J85+K69</f>
        <v>20000</v>
      </c>
      <c r="L85" s="26" t="n">
        <f aca="false">K85+L69</f>
        <v>20000</v>
      </c>
      <c r="M85" s="26" t="n">
        <f aca="false">L85+M69</f>
        <v>20000</v>
      </c>
      <c r="N85" s="26" t="n">
        <f aca="false">M85+N69</f>
        <v>20000</v>
      </c>
      <c r="O85" s="26" t="n">
        <f aca="false">N85+O69</f>
        <v>20000</v>
      </c>
      <c r="P85" s="26" t="n">
        <f aca="false">O85+P69</f>
        <v>20000</v>
      </c>
      <c r="Q85" s="26" t="n">
        <f aca="false">P85+Q69</f>
        <v>20000</v>
      </c>
      <c r="R85" s="26" t="n">
        <f aca="false">Q85+R69</f>
        <v>20000</v>
      </c>
      <c r="S85" s="26" t="n">
        <f aca="false">R85+S69</f>
        <v>20000</v>
      </c>
      <c r="T85" s="26" t="n">
        <f aca="false">S85+T69</f>
        <v>20000</v>
      </c>
      <c r="U85" s="26" t="n">
        <f aca="false">T85+U69</f>
        <v>20000</v>
      </c>
      <c r="V85" s="26" t="n">
        <f aca="false">U85+V69</f>
        <v>20000</v>
      </c>
      <c r="W85" s="26" t="n">
        <f aca="false">V85+W69</f>
        <v>20000</v>
      </c>
      <c r="X85" s="26" t="n">
        <f aca="false">W85+X69</f>
        <v>20000</v>
      </c>
      <c r="Y85" s="26" t="n">
        <f aca="false">X85+Y69</f>
        <v>20000</v>
      </c>
      <c r="Z85" s="26" t="n">
        <f aca="false">Y85+Z69</f>
        <v>20000</v>
      </c>
      <c r="AA85" s="26" t="n">
        <f aca="false">Z85+AA69</f>
        <v>20000</v>
      </c>
      <c r="AB85" s="26" t="n">
        <f aca="false">AA85+AB69</f>
        <v>20000</v>
      </c>
      <c r="AC85" s="26" t="n">
        <f aca="false">AB85+AC69</f>
        <v>20000</v>
      </c>
      <c r="AD85" s="26" t="n">
        <f aca="false">AC85+AD69</f>
        <v>20000</v>
      </c>
      <c r="AE85" s="26" t="n">
        <f aca="false">AD85+AE69</f>
        <v>20000</v>
      </c>
      <c r="AF85" s="26" t="n">
        <f aca="false">AE85+AF69</f>
        <v>20000</v>
      </c>
      <c r="AG85" s="26" t="n">
        <f aca="false">AF85+AG69</f>
        <v>20000</v>
      </c>
      <c r="AH85" s="26" t="n">
        <f aca="false">AG85+AH69</f>
        <v>20000</v>
      </c>
      <c r="AI85" s="26" t="n">
        <f aca="false">AH85+AI69</f>
        <v>20000</v>
      </c>
      <c r="AJ85" s="26" t="n">
        <f aca="false">AI85+AJ69</f>
        <v>20000</v>
      </c>
      <c r="AK85" s="26" t="n">
        <f aca="false">AJ85+AK69</f>
        <v>20000</v>
      </c>
      <c r="AL85" s="26" t="n">
        <f aca="false">AK85+AL69</f>
        <v>20000</v>
      </c>
      <c r="AM85" s="26" t="n">
        <f aca="false">AL85+AM69</f>
        <v>20000</v>
      </c>
      <c r="AN85" s="26" t="n">
        <f aca="false">AM85+AN69</f>
        <v>20000</v>
      </c>
      <c r="AO85" s="26" t="n">
        <f aca="false">AN85+AO69</f>
        <v>20000</v>
      </c>
      <c r="AP85" s="26" t="n">
        <f aca="false">AO85+AP69</f>
        <v>20000</v>
      </c>
      <c r="AQ85" s="26" t="n">
        <f aca="false">AP85+AQ69</f>
        <v>20000</v>
      </c>
      <c r="AR85" s="26" t="n">
        <f aca="false">AQ85+AR69</f>
        <v>20000</v>
      </c>
      <c r="AS85" s="26" t="n">
        <f aca="false">AR85+AS69</f>
        <v>20000</v>
      </c>
      <c r="AT85" s="26" t="n">
        <f aca="false">AS85+AT69</f>
        <v>20000</v>
      </c>
      <c r="AU85" s="26" t="n">
        <f aca="false">AT85+AU69</f>
        <v>20000</v>
      </c>
      <c r="AV85" s="26" t="n">
        <f aca="false">AU85+AV69</f>
        <v>20000</v>
      </c>
      <c r="AW85" s="26" t="n">
        <f aca="false">AV85+AW69</f>
        <v>20000</v>
      </c>
      <c r="AX85" s="26" t="n">
        <f aca="false">AW85+AX69</f>
        <v>20000</v>
      </c>
      <c r="AY85" s="26" t="n">
        <f aca="false">AX85+AY69</f>
        <v>20000</v>
      </c>
      <c r="AZ85" s="26" t="n">
        <f aca="false">AY85+AZ69</f>
        <v>20000</v>
      </c>
      <c r="BA85" s="26" t="n">
        <f aca="false">AZ85+BA69</f>
        <v>20000</v>
      </c>
      <c r="BB85" s="26" t="n">
        <f aca="false">BA85+BB69</f>
        <v>20000</v>
      </c>
      <c r="BC85" s="26" t="n">
        <f aca="false">BB85+BC69</f>
        <v>20000</v>
      </c>
      <c r="BD85" s="26" t="n">
        <f aca="false">BC85+BD69</f>
        <v>20000</v>
      </c>
      <c r="BE85" s="26" t="n">
        <f aca="false">BD85+BE69</f>
        <v>20000</v>
      </c>
      <c r="BF85" s="26" t="n">
        <f aca="false">BE85+BF69</f>
        <v>20000</v>
      </c>
      <c r="BG85" s="26" t="n">
        <f aca="false">BF85+BG69</f>
        <v>20000</v>
      </c>
      <c r="BH85" s="26" t="n">
        <f aca="false">BG85+BH69</f>
        <v>20000</v>
      </c>
      <c r="BI85" s="26" t="n">
        <f aca="false">BH85+BI69</f>
        <v>20000</v>
      </c>
      <c r="BJ85" s="26" t="n">
        <f aca="false">BI85+BJ69</f>
        <v>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21" t="s">
        <v>259</v>
      </c>
    </row>
    <row r="3" customFormat="false" ht="15" hidden="false" customHeight="false" outlineLevel="0" collapsed="false">
      <c r="A3" s="6" t="s">
        <v>128</v>
      </c>
      <c r="B3" s="28" t="s">
        <v>260</v>
      </c>
      <c r="C3" s="28" t="s">
        <v>261</v>
      </c>
      <c r="D3" s="28" t="s">
        <v>262</v>
      </c>
      <c r="E3" s="28" t="s">
        <v>263</v>
      </c>
      <c r="F3" s="28" t="s">
        <v>264</v>
      </c>
      <c r="G3" s="6" t="s">
        <v>265</v>
      </c>
    </row>
    <row r="4" customFormat="false" ht="15" hidden="false" customHeight="false" outlineLevel="0" collapsed="false">
      <c r="A4" s="7" t="s">
        <v>266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9" t="s">
        <v>204</v>
      </c>
      <c r="B5" s="26" t="n">
        <f aca="false">SUMIF(Monthly!$C$4:$BJ$4,1,Monthly!$C$29:$BJ$29)</f>
        <v>40213.3333333333</v>
      </c>
      <c r="C5" s="26" t="n">
        <f aca="false">SUMIF(Monthly!$C$4:$BJ$4,2,Monthly!$C$29:$BJ$29)</f>
        <v>209132.373333333</v>
      </c>
      <c r="D5" s="26" t="n">
        <f aca="false">SUMIF(Monthly!$C$4:$BJ$4,3,Monthly!$C$29:$BJ$29)</f>
        <v>420668.893866667</v>
      </c>
      <c r="E5" s="26" t="n">
        <f aca="false">SUMIF(Monthly!$C$4:$BJ$4,4,Monthly!$C$29:$BJ$29)</f>
        <v>476911.239168</v>
      </c>
      <c r="F5" s="26" t="n">
        <f aca="false">SUMIF(Monthly!$C$4:$BJ$4,5,Monthly!$C$29:$BJ$29)</f>
        <v>534140.58786816</v>
      </c>
      <c r="G5" s="26" t="n">
        <f aca="false">SUM(B5:F5)</f>
        <v>1681066.42756949</v>
      </c>
    </row>
    <row r="6" customFormat="false" ht="15" hidden="false" customHeight="false" outlineLevel="0" collapsed="false">
      <c r="A6" s="9" t="s">
        <v>205</v>
      </c>
      <c r="B6" s="26" t="n">
        <f aca="false">SUMIF(Monthly!$C$4:$BJ$4,1,Monthly!$C$30:$BJ$30)</f>
        <v>0</v>
      </c>
      <c r="C6" s="26" t="n">
        <f aca="false">SUMIF(Monthly!$C$4:$BJ$4,2,Monthly!$C$30:$BJ$30)</f>
        <v>11760</v>
      </c>
      <c r="D6" s="26" t="n">
        <f aca="false">SUMIF(Monthly!$C$4:$BJ$4,3,Monthly!$C$30:$BJ$30)</f>
        <v>13171.2</v>
      </c>
      <c r="E6" s="26" t="n">
        <f aca="false">SUMIF(Monthly!$C$4:$BJ$4,4,Monthly!$C$30:$BJ$30)</f>
        <v>14751.744</v>
      </c>
      <c r="F6" s="26" t="n">
        <f aca="false">SUMIF(Monthly!$C$4:$BJ$4,5,Monthly!$C$30:$BJ$30)</f>
        <v>16521.95328</v>
      </c>
      <c r="G6" s="26" t="n">
        <f aca="false">SUM(B6:F6)</f>
        <v>56204.89728</v>
      </c>
    </row>
    <row r="7" customFormat="false" ht="15" hidden="false" customHeight="false" outlineLevel="0" collapsed="false">
      <c r="A7" s="3" t="s">
        <v>267</v>
      </c>
      <c r="B7" s="14" t="n">
        <f aca="false">B5+B6</f>
        <v>40213.3333333333</v>
      </c>
      <c r="C7" s="14" t="n">
        <f aca="false">C5+C6</f>
        <v>220892.373333333</v>
      </c>
      <c r="D7" s="14" t="n">
        <f aca="false">D5+D6</f>
        <v>433840.093866667</v>
      </c>
      <c r="E7" s="14" t="n">
        <f aca="false">E5+E6</f>
        <v>491662.983168</v>
      </c>
      <c r="F7" s="14" t="n">
        <f aca="false">F5+F6</f>
        <v>550662.54114816</v>
      </c>
      <c r="G7" s="14" t="n">
        <f aca="false">SUM(B7:F7)</f>
        <v>1737271.32484949</v>
      </c>
    </row>
    <row r="8" customFormat="false" ht="15" hidden="false" customHeight="false" outlineLevel="0" collapsed="false">
      <c r="A8" s="9" t="s">
        <v>210</v>
      </c>
      <c r="B8" s="26" t="n">
        <f aca="false">SUMIF(Monthly!$C$4:$BJ$4,1,Monthly!$C$35:$BJ$35)</f>
        <v>400</v>
      </c>
      <c r="C8" s="26" t="n">
        <f aca="false">SUMIF(Monthly!$C$4:$BJ$4,2,Monthly!$C$35:$BJ$35)</f>
        <v>896</v>
      </c>
      <c r="D8" s="26" t="n">
        <f aca="false">SUMIF(Monthly!$C$4:$BJ$4,3,Monthly!$C$35:$BJ$35)</f>
        <v>1003.52</v>
      </c>
      <c r="E8" s="26" t="n">
        <f aca="false">SUMIF(Monthly!$C$4:$BJ$4,4,Monthly!$C$35:$BJ$35)</f>
        <v>1123.9424</v>
      </c>
      <c r="F8" s="26" t="n">
        <f aca="false">SUMIF(Monthly!$C$4:$BJ$4,5,Monthly!$C$35:$BJ$35)</f>
        <v>1258.815488</v>
      </c>
      <c r="G8" s="26" t="n">
        <f aca="false">SUM(B8:F8)</f>
        <v>4682.277888</v>
      </c>
    </row>
    <row r="9" customFormat="false" ht="15" hidden="false" customHeight="false" outlineLevel="0" collapsed="false">
      <c r="A9" s="9" t="s">
        <v>211</v>
      </c>
      <c r="B9" s="26" t="n">
        <f aca="false">SUMIF(Monthly!$C$4:$BJ$4,1,Monthly!$C$36:$BJ$36)</f>
        <v>10533.3333333333</v>
      </c>
      <c r="C9" s="26" t="n">
        <f aca="false">SUMIF(Monthly!$C$4:$BJ$4,2,Monthly!$C$36:$BJ$36)</f>
        <v>40021.3333333333</v>
      </c>
      <c r="D9" s="26" t="n">
        <f aca="false">SUMIF(Monthly!$C$4:$BJ$4,3,Monthly!$C$36:$BJ$36)</f>
        <v>63221.76</v>
      </c>
      <c r="E9" s="26" t="n">
        <f aca="false">SUMIF(Monthly!$C$4:$BJ$4,4,Monthly!$C$36:$BJ$36)</f>
        <v>70808.3712</v>
      </c>
      <c r="F9" s="26" t="n">
        <f aca="false">SUMIF(Monthly!$C$4:$BJ$4,5,Monthly!$C$36:$BJ$36)</f>
        <v>79305.375744</v>
      </c>
      <c r="G9" s="26" t="n">
        <f aca="false">SUM(B9:F9)</f>
        <v>263890.173610667</v>
      </c>
    </row>
    <row r="10" customFormat="false" ht="15" hidden="false" customHeight="false" outlineLevel="0" collapsed="false">
      <c r="A10" s="9" t="s">
        <v>212</v>
      </c>
      <c r="B10" s="26" t="n">
        <f aca="false">SUMIF(Monthly!$C$4:$BJ$4,1,Monthly!$C$37:$BJ$37)</f>
        <v>3760</v>
      </c>
      <c r="C10" s="26" t="n">
        <f aca="false">SUMIF(Monthly!$C$4:$BJ$4,2,Monthly!$C$37:$BJ$37)</f>
        <v>13350.4</v>
      </c>
      <c r="D10" s="26" t="n">
        <f aca="false">SUMIF(Monthly!$C$4:$BJ$4,3,Monthly!$C$37:$BJ$37)</f>
        <v>20471.808</v>
      </c>
      <c r="E10" s="26" t="n">
        <f aca="false">SUMIF(Monthly!$C$4:$BJ$4,4,Monthly!$C$37:$BJ$37)</f>
        <v>22928.42496</v>
      </c>
      <c r="F10" s="26" t="n">
        <f aca="false">SUMIF(Monthly!$C$4:$BJ$4,5,Monthly!$C$37:$BJ$37)</f>
        <v>25679.8359552</v>
      </c>
      <c r="G10" s="26" t="n">
        <f aca="false">SUM(B10:F10)</f>
        <v>86190.4689152</v>
      </c>
    </row>
    <row r="11" customFormat="false" ht="15" hidden="false" customHeight="false" outlineLevel="0" collapsed="false">
      <c r="A11" s="9" t="s">
        <v>213</v>
      </c>
      <c r="B11" s="26" t="n">
        <f aca="false">SUMIF(Monthly!$C$4:$BJ$4,1,Monthly!$C$38:$BJ$38)</f>
        <v>1950</v>
      </c>
      <c r="C11" s="26" t="n">
        <f aca="false">SUMIF(Monthly!$C$4:$BJ$4,2,Monthly!$C$38:$BJ$38)</f>
        <v>10788.96</v>
      </c>
      <c r="D11" s="26" t="n">
        <f aca="false">SUMIF(Monthly!$C$4:$BJ$4,3,Monthly!$C$38:$BJ$38)</f>
        <v>19617.5616</v>
      </c>
      <c r="E11" s="26" t="n">
        <f aca="false">SUMIF(Monthly!$C$4:$BJ$4,4,Monthly!$C$38:$BJ$38)</f>
        <v>22355.214336</v>
      </c>
      <c r="F11" s="26" t="n">
        <f aca="false">SUMIF(Monthly!$C$4:$BJ$4,5,Monthly!$C$38:$BJ$38)</f>
        <v>25037.84005632</v>
      </c>
      <c r="G11" s="26" t="n">
        <f aca="false">SUM(B11:F11)</f>
        <v>79749.57599232</v>
      </c>
    </row>
    <row r="12" customFormat="false" ht="15" hidden="false" customHeight="false" outlineLevel="0" collapsed="false">
      <c r="A12" s="9" t="s">
        <v>214</v>
      </c>
      <c r="B12" s="26" t="n">
        <f aca="false">SUMIF(Monthly!$C$4:$BJ$4,1,Monthly!$C$39:$BJ$39)</f>
        <v>3016</v>
      </c>
      <c r="C12" s="26" t="n">
        <f aca="false">SUMIF(Monthly!$C$4:$BJ$4,2,Monthly!$C$39:$BJ$39)</f>
        <v>15684.928</v>
      </c>
      <c r="D12" s="26" t="n">
        <f aca="false">SUMIF(Monthly!$C$4:$BJ$4,3,Monthly!$C$39:$BJ$39)</f>
        <v>31550.16704</v>
      </c>
      <c r="E12" s="26" t="n">
        <f aca="false">SUMIF(Monthly!$C$4:$BJ$4,4,Monthly!$C$39:$BJ$39)</f>
        <v>35768.3429376</v>
      </c>
      <c r="F12" s="26" t="n">
        <f aca="false">SUMIF(Monthly!$C$4:$BJ$4,5,Monthly!$C$39:$BJ$39)</f>
        <v>40060.544090112</v>
      </c>
      <c r="G12" s="26" t="n">
        <f aca="false">SUM(B12:F12)</f>
        <v>126079.982067712</v>
      </c>
    </row>
    <row r="13" customFormat="false" ht="15" hidden="false" customHeight="false" outlineLevel="0" collapsed="false">
      <c r="A13" s="9" t="s">
        <v>215</v>
      </c>
      <c r="B13" s="26" t="n">
        <f aca="false">SUMIF(Monthly!$C$4:$BJ$4,1,Monthly!$C$40:$BJ$40)</f>
        <v>2010.66666666667</v>
      </c>
      <c r="C13" s="26" t="n">
        <f aca="false">SUMIF(Monthly!$C$4:$BJ$4,2,Monthly!$C$40:$BJ$40)</f>
        <v>10456.6186666667</v>
      </c>
      <c r="D13" s="26" t="n">
        <f aca="false">SUMIF(Monthly!$C$4:$BJ$4,3,Monthly!$C$40:$BJ$40)</f>
        <v>21033.4446933333</v>
      </c>
      <c r="E13" s="26" t="n">
        <f aca="false">SUMIF(Monthly!$C$4:$BJ$4,4,Monthly!$C$40:$BJ$40)</f>
        <v>23845.5619584</v>
      </c>
      <c r="F13" s="26" t="n">
        <f aca="false">SUMIF(Monthly!$C$4:$BJ$4,5,Monthly!$C$40:$BJ$40)</f>
        <v>26707.029393408</v>
      </c>
      <c r="G13" s="26" t="n">
        <f aca="false">SUM(B13:F13)</f>
        <v>84053.3213784747</v>
      </c>
    </row>
    <row r="14" customFormat="false" ht="15" hidden="false" customHeight="false" outlineLevel="0" collapsed="false">
      <c r="A14" s="3" t="s">
        <v>268</v>
      </c>
      <c r="B14" s="14" t="n">
        <f aca="false">B8+B9+B10+B11+B12+B13</f>
        <v>21670</v>
      </c>
      <c r="C14" s="14" t="n">
        <f aca="false">C8+C9+C10+C11+C12+C13</f>
        <v>91198.24</v>
      </c>
      <c r="D14" s="14" t="n">
        <f aca="false">D8+D9+D10+D11+D12+D13</f>
        <v>156898.261333333</v>
      </c>
      <c r="E14" s="14" t="n">
        <f aca="false">E8+E9+E10+E11+E12+E13</f>
        <v>176829.857792</v>
      </c>
      <c r="F14" s="14" t="n">
        <f aca="false">F8+F9+F10+F11+F12+F13</f>
        <v>198049.44072704</v>
      </c>
      <c r="G14" s="14" t="n">
        <f aca="false">SUM(B14:F14)</f>
        <v>644645.799852373</v>
      </c>
    </row>
    <row r="15" customFormat="false" ht="15" hidden="false" customHeight="false" outlineLevel="0" collapsed="false">
      <c r="A15" s="9" t="s">
        <v>269</v>
      </c>
      <c r="B15" s="26" t="n">
        <f aca="false">SUMIF(Monthly!$C$4:$BJ$4,1,Monthly!$C$45:$BJ$45)</f>
        <v>353.888888888889</v>
      </c>
      <c r="C15" s="26" t="n">
        <f aca="false">SUMIF(Monthly!$C$4:$BJ$4,2,Monthly!$C$45:$BJ$45)</f>
        <v>5410.03555555556</v>
      </c>
      <c r="D15" s="26" t="n">
        <f aca="false">SUMIF(Monthly!$C$4:$BJ$4,3,Monthly!$C$45:$BJ$45)</f>
        <v>140.187911111106</v>
      </c>
      <c r="E15" s="26" t="n">
        <f aca="false">SUMIF(Monthly!$C$4:$BJ$4,4,Monthly!$C$45:$BJ$45)</f>
        <v>708.493482666668</v>
      </c>
      <c r="F15" s="26" t="n">
        <f aca="false">SUMIF(Monthly!$C$4:$BJ$4,5,Monthly!$C$45:$BJ$45)</f>
        <v>793.512700586667</v>
      </c>
      <c r="G15" s="26" t="n">
        <f aca="false">SUM(B15:F15)</f>
        <v>7406.11853880889</v>
      </c>
    </row>
    <row r="16" customFormat="false" ht="15" hidden="false" customHeight="false" outlineLevel="0" collapsed="false">
      <c r="A16" s="3" t="s">
        <v>270</v>
      </c>
      <c r="B16" s="14" t="n">
        <f aca="false">B7-B14+B15</f>
        <v>18897.2222222222</v>
      </c>
      <c r="C16" s="14" t="n">
        <f aca="false">C7-C14+C15</f>
        <v>135104.168888889</v>
      </c>
      <c r="D16" s="14" t="n">
        <f aca="false">D7-D14+D15</f>
        <v>277082.020444445</v>
      </c>
      <c r="E16" s="14" t="n">
        <f aca="false">E7-E14+E15</f>
        <v>315541.618858667</v>
      </c>
      <c r="F16" s="14" t="n">
        <f aca="false">F7-F14+F15</f>
        <v>353406.613121707</v>
      </c>
      <c r="G16" s="14" t="n">
        <f aca="false">SUM(B16:F16)</f>
        <v>1100031.64353593</v>
      </c>
    </row>
    <row r="17" customFormat="false" ht="15" hidden="false" customHeight="false" outlineLevel="0" collapsed="false">
      <c r="A17" s="9" t="s">
        <v>271</v>
      </c>
      <c r="B17" s="25" t="n">
        <f aca="false">IF(B7=0,0,B16/B7)</f>
        <v>0.469924292661362</v>
      </c>
      <c r="C17" s="25" t="n">
        <f aca="false">IF(C7=0,0,C16/C7)</f>
        <v>0.611628943318077</v>
      </c>
      <c r="D17" s="25" t="n">
        <f aca="false">IF(D7=0,0,D16/D7)</f>
        <v>0.638673152531635</v>
      </c>
      <c r="E17" s="25" t="n">
        <f aca="false">IF(E7=0,0,E16/E7)</f>
        <v>0.641784371940092</v>
      </c>
      <c r="F17" s="25" t="n">
        <f aca="false">IF(F7=0,0,F16/F7)</f>
        <v>0.641784371940092</v>
      </c>
    </row>
    <row r="18" customFormat="false" ht="15" hidden="false" customHeight="false" outlineLevel="0" collapsed="false">
      <c r="A18" s="9" t="s">
        <v>223</v>
      </c>
      <c r="B18" s="26" t="n">
        <f aca="false">SUMIF(Monthly!$C$4:$BJ$4,1,Monthly!$C$48:$BJ$48)</f>
        <v>54000</v>
      </c>
      <c r="C18" s="26" t="n">
        <f aca="false">SUMIF(Monthly!$C$4:$BJ$4,2,Monthly!$C$48:$BJ$48)</f>
        <v>107520</v>
      </c>
      <c r="D18" s="26" t="n">
        <f aca="false">SUMIF(Monthly!$C$4:$BJ$4,3,Monthly!$C$48:$BJ$48)</f>
        <v>135475.2</v>
      </c>
      <c r="E18" s="26" t="n">
        <f aca="false">SUMIF(Monthly!$C$4:$BJ$4,4,Monthly!$C$48:$BJ$48)</f>
        <v>151732.224</v>
      </c>
      <c r="F18" s="26" t="n">
        <f aca="false">SUMIF(Monthly!$C$4:$BJ$4,5,Monthly!$C$48:$BJ$48)</f>
        <v>169940.09088</v>
      </c>
      <c r="G18" s="26" t="n">
        <f aca="false">SUM(B18:F18)</f>
        <v>618667.51488</v>
      </c>
    </row>
    <row r="19" customFormat="false" ht="15" hidden="false" customHeight="false" outlineLevel="0" collapsed="false">
      <c r="A19" s="9" t="s">
        <v>224</v>
      </c>
      <c r="B19" s="26" t="n">
        <f aca="false">SUMIF(Monthly!$C$4:$BJ$4,1,Monthly!$C$49:$BJ$49)</f>
        <v>3840</v>
      </c>
      <c r="C19" s="26" t="n">
        <f aca="false">SUMIF(Monthly!$C$4:$BJ$4,2,Monthly!$C$49:$BJ$49)</f>
        <v>10752</v>
      </c>
      <c r="D19" s="26" t="n">
        <f aca="false">SUMIF(Monthly!$C$4:$BJ$4,3,Monthly!$C$49:$BJ$49)</f>
        <v>14450.688</v>
      </c>
      <c r="E19" s="26" t="n">
        <f aca="false">SUMIF(Monthly!$C$4:$BJ$4,4,Monthly!$C$49:$BJ$49)</f>
        <v>16184.77056</v>
      </c>
      <c r="F19" s="26" t="n">
        <f aca="false">SUMIF(Monthly!$C$4:$BJ$4,5,Monthly!$C$49:$BJ$49)</f>
        <v>18126.9430272</v>
      </c>
      <c r="G19" s="26" t="n">
        <f aca="false">SUM(B19:F19)</f>
        <v>63354.4015872</v>
      </c>
    </row>
    <row r="20" customFormat="false" ht="15" hidden="false" customHeight="false" outlineLevel="0" collapsed="false">
      <c r="A20" s="9" t="s">
        <v>225</v>
      </c>
      <c r="B20" s="26" t="n">
        <f aca="false">SUMIF(Monthly!$C$4:$BJ$4,1,Monthly!$C$50:$BJ$50)</f>
        <v>6000</v>
      </c>
      <c r="C20" s="26" t="n">
        <f aca="false">SUMIF(Monthly!$C$4:$BJ$4,2,Monthly!$C$50:$BJ$50)</f>
        <v>13440</v>
      </c>
      <c r="D20" s="26" t="n">
        <f aca="false">SUMIF(Monthly!$C$4:$BJ$4,3,Monthly!$C$50:$BJ$50)</f>
        <v>15052.8</v>
      </c>
      <c r="E20" s="26" t="n">
        <f aca="false">SUMIF(Monthly!$C$4:$BJ$4,4,Monthly!$C$50:$BJ$50)</f>
        <v>16859.136</v>
      </c>
      <c r="F20" s="26" t="n">
        <f aca="false">SUMIF(Monthly!$C$4:$BJ$4,5,Monthly!$C$50:$BJ$50)</f>
        <v>18882.23232</v>
      </c>
      <c r="G20" s="26" t="n">
        <f aca="false">SUM(B20:F20)</f>
        <v>70234.16832</v>
      </c>
    </row>
    <row r="21" customFormat="false" ht="15" hidden="false" customHeight="false" outlineLevel="0" collapsed="false">
      <c r="A21" s="9" t="s">
        <v>226</v>
      </c>
      <c r="B21" s="26" t="n">
        <f aca="false">SUMIF(Monthly!$C$4:$BJ$4,1,Monthly!$C$51:$BJ$51)</f>
        <v>11250</v>
      </c>
      <c r="C21" s="26" t="n">
        <f aca="false">SUMIF(Monthly!$C$4:$BJ$4,2,Monthly!$C$51:$BJ$51)</f>
        <v>8960</v>
      </c>
      <c r="D21" s="26" t="n">
        <f aca="false">SUMIF(Monthly!$C$4:$BJ$4,3,Monthly!$C$51:$BJ$51)</f>
        <v>10035.2</v>
      </c>
      <c r="E21" s="26" t="n">
        <f aca="false">SUMIF(Monthly!$C$4:$BJ$4,4,Monthly!$C$51:$BJ$51)</f>
        <v>11239.424</v>
      </c>
      <c r="F21" s="26" t="n">
        <f aca="false">SUMIF(Monthly!$C$4:$BJ$4,5,Monthly!$C$51:$BJ$51)</f>
        <v>12588.15488</v>
      </c>
      <c r="G21" s="26" t="n">
        <f aca="false">SUM(B21:F21)</f>
        <v>54072.77888</v>
      </c>
    </row>
    <row r="22" customFormat="false" ht="15" hidden="false" customHeight="false" outlineLevel="0" collapsed="false">
      <c r="A22" s="9" t="s">
        <v>124</v>
      </c>
      <c r="B22" s="26" t="n">
        <f aca="false">SUMIF(Monthly!$C$4:$BJ$4,1,Monthly!$C$52:$BJ$52)</f>
        <v>4500</v>
      </c>
      <c r="C22" s="26" t="n">
        <f aca="false">SUMIF(Monthly!$C$4:$BJ$4,2,Monthly!$C$52:$BJ$52)</f>
        <v>6720</v>
      </c>
      <c r="D22" s="26" t="n">
        <f aca="false">SUMIF(Monthly!$C$4:$BJ$4,3,Monthly!$C$52:$BJ$52)</f>
        <v>7526.4</v>
      </c>
      <c r="E22" s="26" t="n">
        <f aca="false">SUMIF(Monthly!$C$4:$BJ$4,4,Monthly!$C$52:$BJ$52)</f>
        <v>8429.568</v>
      </c>
      <c r="F22" s="26" t="n">
        <f aca="false">SUMIF(Monthly!$C$4:$BJ$4,5,Monthly!$C$52:$BJ$52)</f>
        <v>9441.11616000001</v>
      </c>
      <c r="G22" s="26" t="n">
        <f aca="false">SUM(B22:F22)</f>
        <v>36617.08416</v>
      </c>
    </row>
    <row r="23" customFormat="false" ht="15" hidden="false" customHeight="false" outlineLevel="0" collapsed="false">
      <c r="A23" s="9" t="s">
        <v>125</v>
      </c>
      <c r="B23" s="26" t="n">
        <f aca="false">SUMIF(Monthly!$C$4:$BJ$4,1,Monthly!$C$53:$BJ$53)</f>
        <v>4266.66666666667</v>
      </c>
      <c r="C23" s="26" t="n">
        <f aca="false">SUMIF(Monthly!$C$4:$BJ$4,2,Monthly!$C$53:$BJ$53)</f>
        <v>10722.1333333333</v>
      </c>
      <c r="D23" s="26" t="n">
        <f aca="false">SUMIF(Monthly!$C$4:$BJ$4,3,Monthly!$C$53:$BJ$53)</f>
        <v>13999.104</v>
      </c>
      <c r="E23" s="26" t="n">
        <f aca="false">SUMIF(Monthly!$C$4:$BJ$4,4,Monthly!$C$53:$BJ$53)</f>
        <v>15678.99648</v>
      </c>
      <c r="F23" s="26" t="n">
        <f aca="false">SUMIF(Monthly!$C$4:$BJ$4,5,Monthly!$C$53:$BJ$53)</f>
        <v>17560.4760576</v>
      </c>
      <c r="G23" s="26" t="n">
        <f aca="false">SUM(B23:F23)</f>
        <v>62227.3765376</v>
      </c>
    </row>
    <row r="24" customFormat="false" ht="15" hidden="false" customHeight="false" outlineLevel="0" collapsed="false">
      <c r="A24" s="9" t="s">
        <v>227</v>
      </c>
      <c r="B24" s="26" t="n">
        <f aca="false">SUMIF(Monthly!$C$4:$BJ$4,1,Monthly!$C$54:$BJ$54)</f>
        <v>2000</v>
      </c>
      <c r="C24" s="26" t="n">
        <f aca="false">SUMIF(Monthly!$C$4:$BJ$4,2,Monthly!$C$54:$BJ$54)</f>
        <v>1680</v>
      </c>
      <c r="D24" s="26" t="n">
        <f aca="false">SUMIF(Monthly!$C$4:$BJ$4,3,Monthly!$C$54:$BJ$54)</f>
        <v>1881.6</v>
      </c>
      <c r="E24" s="26" t="n">
        <f aca="false">SUMIF(Monthly!$C$4:$BJ$4,4,Monthly!$C$54:$BJ$54)</f>
        <v>2107.392</v>
      </c>
      <c r="F24" s="26" t="n">
        <f aca="false">SUMIF(Monthly!$C$4:$BJ$4,5,Monthly!$C$54:$BJ$54)</f>
        <v>2360.27904</v>
      </c>
      <c r="G24" s="26" t="n">
        <f aca="false">SUM(B24:F24)</f>
        <v>10029.27104</v>
      </c>
    </row>
    <row r="25" customFormat="false" ht="15" hidden="false" customHeight="false" outlineLevel="0" collapsed="false">
      <c r="A25" s="9" t="s">
        <v>272</v>
      </c>
      <c r="B25" s="26" t="n">
        <f aca="false">SUMIF(Monthly!$C$4:$BJ$4,1,Monthly!$C$55:$BJ$55)</f>
        <v>10800</v>
      </c>
      <c r="C25" s="26" t="n">
        <f aca="false">SUMIF(Monthly!$C$4:$BJ$4,2,Monthly!$C$55:$BJ$55)</f>
        <v>0</v>
      </c>
      <c r="D25" s="26" t="n">
        <f aca="false">SUMIF(Monthly!$C$4:$BJ$4,3,Monthly!$C$55:$BJ$55)</f>
        <v>0</v>
      </c>
      <c r="E25" s="26" t="n">
        <f aca="false">SUMIF(Monthly!$C$4:$BJ$4,4,Monthly!$C$55:$BJ$55)</f>
        <v>0</v>
      </c>
      <c r="F25" s="26" t="n">
        <f aca="false">SUMIF(Monthly!$C$4:$BJ$4,5,Monthly!$C$55:$BJ$55)</f>
        <v>0</v>
      </c>
      <c r="G25" s="26" t="n">
        <f aca="false">SUM(B25:F25)</f>
        <v>10800</v>
      </c>
    </row>
    <row r="26" customFormat="false" ht="15" hidden="false" customHeight="false" outlineLevel="0" collapsed="false">
      <c r="A26" s="3" t="s">
        <v>273</v>
      </c>
      <c r="B26" s="14" t="n">
        <f aca="false">B18+B19+B20+B21+B22+B23+B24+B25</f>
        <v>96656.6666666667</v>
      </c>
      <c r="C26" s="14" t="n">
        <f aca="false">C18+C19+C20+C21+C22+C23+C24+C25</f>
        <v>159794.133333333</v>
      </c>
      <c r="D26" s="14" t="n">
        <f aca="false">D18+D19+D20+D21+D22+D23+D24+D25</f>
        <v>198420.992</v>
      </c>
      <c r="E26" s="14" t="n">
        <f aca="false">E18+E19+E20+E21+E22+E23+E24+E25</f>
        <v>222231.51104</v>
      </c>
      <c r="F26" s="14" t="n">
        <f aca="false">F18+F19+F20+F21+F22+F23+F24+F25</f>
        <v>248899.2923648</v>
      </c>
      <c r="G26" s="14" t="n">
        <f aca="false">SUM(B26:F26)</f>
        <v>926002.5954048</v>
      </c>
    </row>
    <row r="27" customFormat="false" ht="15" hidden="false" customHeight="false" outlineLevel="0" collapsed="false">
      <c r="A27" s="3" t="s">
        <v>231</v>
      </c>
      <c r="B27" s="14" t="n">
        <f aca="false">B16-B26</f>
        <v>-77759.4444444445</v>
      </c>
      <c r="C27" s="14" t="n">
        <f aca="false">C16-C26</f>
        <v>-24689.9644444444</v>
      </c>
      <c r="D27" s="14" t="n">
        <f aca="false">D16-D26</f>
        <v>78661.0284444445</v>
      </c>
      <c r="E27" s="14" t="n">
        <f aca="false">E16-E26</f>
        <v>93310.1078186667</v>
      </c>
      <c r="F27" s="14" t="n">
        <f aca="false">F16-F26</f>
        <v>104507.320756907</v>
      </c>
      <c r="G27" s="14" t="n">
        <f aca="false">SUM(B27:F27)</f>
        <v>174029.048131129</v>
      </c>
    </row>
    <row r="28" customFormat="false" ht="15" hidden="false" customHeight="false" outlineLevel="0" collapsed="false">
      <c r="A28" s="9" t="s">
        <v>235</v>
      </c>
      <c r="B28" s="26" t="n">
        <f aca="false">SUMIF(Monthly!$C$4:$BJ$4,1,Monthly!$C$62:$BJ$62)</f>
        <v>9733.33333333333</v>
      </c>
      <c r="C28" s="26" t="n">
        <f aca="false">SUMIF(Monthly!$C$4:$BJ$4,2,Monthly!$C$62:$BJ$62)</f>
        <v>21320</v>
      </c>
      <c r="D28" s="26" t="n">
        <f aca="false">SUMIF(Monthly!$C$4:$BJ$4,3,Monthly!$C$62:$BJ$62)</f>
        <v>24680</v>
      </c>
      <c r="E28" s="26" t="n">
        <f aca="false">SUMIF(Monthly!$C$4:$BJ$4,4,Monthly!$C$62:$BJ$62)</f>
        <v>24680</v>
      </c>
      <c r="F28" s="26" t="n">
        <f aca="false">SUMIF(Monthly!$C$4:$BJ$4,5,Monthly!$C$62:$BJ$62)</f>
        <v>24680</v>
      </c>
      <c r="G28" s="26" t="n">
        <f aca="false">SUM(B28:F28)</f>
        <v>105093.333333333</v>
      </c>
    </row>
    <row r="29" customFormat="false" ht="15" hidden="false" customHeight="false" outlineLevel="0" collapsed="false">
      <c r="A29" s="3" t="s">
        <v>274</v>
      </c>
      <c r="B29" s="14" t="n">
        <f aca="false">B27-B28</f>
        <v>-87492.7777777778</v>
      </c>
      <c r="C29" s="14" t="n">
        <f aca="false">C27-C28</f>
        <v>-46009.9644444444</v>
      </c>
      <c r="D29" s="14" t="n">
        <f aca="false">D27-D28</f>
        <v>53981.0284444445</v>
      </c>
      <c r="E29" s="14" t="n">
        <f aca="false">E27-E28</f>
        <v>68630.1078186667</v>
      </c>
      <c r="F29" s="14" t="n">
        <f aca="false">F27-F28</f>
        <v>79827.3207569068</v>
      </c>
      <c r="G29" s="14" t="n">
        <f aca="false">SUM(B29:F29)</f>
        <v>68935.7147977958</v>
      </c>
    </row>
    <row r="30" customFormat="false" ht="15" hidden="false" customHeight="false" outlineLevel="0" collapsed="false">
      <c r="A30" s="9" t="s">
        <v>275</v>
      </c>
      <c r="B30" s="26" t="n">
        <f aca="false">SUMIF(Monthly!$C$4:$BJ$4,1,Monthly!$C$66:$BJ$66)</f>
        <v>19668.1421051907</v>
      </c>
      <c r="C30" s="26" t="n">
        <f aca="false">SUMIF(Monthly!$C$4:$BJ$4,2,Monthly!$C$66:$BJ$66)</f>
        <v>21559.5756685352</v>
      </c>
      <c r="D30" s="26" t="n">
        <f aca="false">SUMIF(Monthly!$C$4:$BJ$4,3,Monthly!$C$66:$BJ$66)</f>
        <v>13415.002789081</v>
      </c>
      <c r="E30" s="26" t="n">
        <f aca="false">SUMIF(Monthly!$C$4:$BJ$4,4,Monthly!$C$66:$BJ$66)</f>
        <v>3540.03716662604</v>
      </c>
      <c r="F30" s="26" t="n">
        <f aca="false">SUMIF(Monthly!$C$4:$BJ$4,5,Monthly!$C$66:$BJ$66)</f>
        <v>0</v>
      </c>
      <c r="G30" s="26" t="n">
        <f aca="false">SUM(B30:F30)</f>
        <v>58182.757729433</v>
      </c>
    </row>
    <row r="31" customFormat="false" ht="15" hidden="false" customHeight="false" outlineLevel="0" collapsed="false">
      <c r="A31" s="3" t="s">
        <v>276</v>
      </c>
      <c r="B31" s="14" t="n">
        <f aca="false">B29-B30</f>
        <v>-107160.919882969</v>
      </c>
      <c r="C31" s="14" t="n">
        <f aca="false">C29-C30</f>
        <v>-67569.5401129797</v>
      </c>
      <c r="D31" s="14" t="n">
        <f aca="false">D29-D30</f>
        <v>40566.0256553635</v>
      </c>
      <c r="E31" s="14" t="n">
        <f aca="false">E29-E30</f>
        <v>65090.0706520407</v>
      </c>
      <c r="F31" s="14" t="n">
        <f aca="false">F29-F30</f>
        <v>79827.3207569068</v>
      </c>
      <c r="G31" s="14" t="n">
        <f aca="false">SUM(B31:F31)</f>
        <v>10752.9570683628</v>
      </c>
    </row>
    <row r="32" customFormat="false" ht="15" hidden="false" customHeight="false" outlineLevel="0" collapsed="false">
      <c r="A32" s="9" t="s">
        <v>277</v>
      </c>
      <c r="B32" s="26" t="n">
        <f aca="false">SUMIF(Monthly!$C$4:$BJ$4,1,Monthly!$C$42:$BJ$42)</f>
        <v>0</v>
      </c>
      <c r="C32" s="26" t="n">
        <f aca="false">SUMIF(Monthly!$C$4:$BJ$4,2,Monthly!$C$42:$BJ$42)</f>
        <v>0</v>
      </c>
      <c r="D32" s="26" t="n">
        <f aca="false">SUMIF(Monthly!$C$4:$BJ$4,3,Monthly!$C$42:$BJ$42)</f>
        <v>0</v>
      </c>
      <c r="E32" s="26" t="n">
        <f aca="false">SUMIF(Monthly!$C$4:$BJ$4,4,Monthly!$C$42:$BJ$42)</f>
        <v>0</v>
      </c>
      <c r="F32" s="26" t="n">
        <f aca="false">SUMIF(Monthly!$C$4:$BJ$4,5,Monthly!$C$42:$BJ$42)</f>
        <v>0</v>
      </c>
      <c r="G32" s="26" t="n">
        <f aca="false">SUM(B32:F32)</f>
        <v>0</v>
      </c>
    </row>
    <row r="33" customFormat="false" ht="15" hidden="false" customHeight="false" outlineLevel="0" collapsed="false">
      <c r="A33" s="3" t="s">
        <v>278</v>
      </c>
      <c r="B33" s="14" t="n">
        <f aca="false">B31+B32</f>
        <v>-107160.919882969</v>
      </c>
      <c r="C33" s="14" t="n">
        <f aca="false">C31+C32</f>
        <v>-67569.5401129797</v>
      </c>
      <c r="D33" s="14" t="n">
        <f aca="false">D31+D32</f>
        <v>40566.0256553635</v>
      </c>
      <c r="E33" s="14" t="n">
        <f aca="false">E31+E32</f>
        <v>65090.0706520407</v>
      </c>
      <c r="F33" s="14" t="n">
        <f aca="false">F31+F32</f>
        <v>79827.3207569068</v>
      </c>
      <c r="G33" s="14" t="n">
        <f aca="false">SUM(B33:F33)</f>
        <v>10752.9570683628</v>
      </c>
    </row>
    <row r="34" customFormat="false" ht="15" hidden="false" customHeight="false" outlineLevel="0" collapsed="false">
      <c r="A34" s="9" t="s">
        <v>279</v>
      </c>
      <c r="B34" s="26" t="n">
        <f aca="false">MAX(0,B33)*Assumptions!$F$93</f>
        <v>0</v>
      </c>
      <c r="C34" s="26" t="n">
        <f aca="false">MAX(0,C33)*Assumptions!$F$93</f>
        <v>0</v>
      </c>
      <c r="D34" s="26" t="n">
        <f aca="false">MAX(0,D33)*Assumptions!$F$93</f>
        <v>4056.60256553635</v>
      </c>
      <c r="E34" s="26" t="n">
        <f aca="false">MAX(0,E33)*Assumptions!$F$93</f>
        <v>6509.00706520407</v>
      </c>
      <c r="F34" s="26" t="n">
        <f aca="false">MAX(0,F33)*Assumptions!$F$93</f>
        <v>7982.73207569068</v>
      </c>
      <c r="G34" s="26" t="n">
        <f aca="false">SUM(B34:F34)</f>
        <v>18548.3417064311</v>
      </c>
    </row>
    <row r="35" customFormat="false" ht="15" hidden="false" customHeight="false" outlineLevel="0" collapsed="false">
      <c r="A35" s="3" t="s">
        <v>280</v>
      </c>
      <c r="B35" s="14" t="n">
        <f aca="false">B33-B34</f>
        <v>-107160.919882969</v>
      </c>
      <c r="C35" s="14" t="n">
        <f aca="false">C33-C34</f>
        <v>-67569.5401129797</v>
      </c>
      <c r="D35" s="14" t="n">
        <f aca="false">D33-D34</f>
        <v>36509.4230898272</v>
      </c>
      <c r="E35" s="14" t="n">
        <f aca="false">E33-E34</f>
        <v>58581.0635868366</v>
      </c>
      <c r="F35" s="14" t="n">
        <f aca="false">F33-F34</f>
        <v>71844.5886812161</v>
      </c>
      <c r="G35" s="14" t="n">
        <f aca="false">SUM(B35:F35)</f>
        <v>-7795.38463806831</v>
      </c>
    </row>
    <row r="36" customFormat="false" ht="15" hidden="false" customHeight="false" outlineLevel="0" collapsed="false">
      <c r="A36" s="9" t="s">
        <v>281</v>
      </c>
      <c r="B36" s="26" t="n">
        <f aca="false">B35-B32</f>
        <v>-107160.919882969</v>
      </c>
      <c r="C36" s="26" t="n">
        <f aca="false">C35-C32</f>
        <v>-67569.5401129797</v>
      </c>
      <c r="D36" s="26" t="n">
        <f aca="false">D35-D32</f>
        <v>36509.4230898272</v>
      </c>
      <c r="E36" s="26" t="n">
        <f aca="false">E35-E32</f>
        <v>58581.0635868366</v>
      </c>
      <c r="F36" s="26" t="n">
        <f aca="false">F35-F32</f>
        <v>71844.5886812161</v>
      </c>
      <c r="G36" s="26" t="n">
        <f aca="false">SUM(B36:F36)</f>
        <v>-7795.38463806831</v>
      </c>
    </row>
    <row r="37" customFormat="false" ht="15" hidden="false" customHeight="false" outlineLevel="0" collapsed="false">
      <c r="A37" s="9" t="s">
        <v>282</v>
      </c>
      <c r="B37" s="26" t="n">
        <f aca="false">SUMIF(Monthly!$C$4:$BJ$4,1,Monthly!$C$57:$BJ$57)</f>
        <v>27000</v>
      </c>
      <c r="C37" s="26" t="n">
        <f aca="false">SUMIF(Monthly!$C$4:$BJ$4,2,Monthly!$C$57:$BJ$57)</f>
        <v>40320</v>
      </c>
      <c r="D37" s="26" t="n">
        <f aca="false">SUMIF(Monthly!$C$4:$BJ$4,3,Monthly!$C$57:$BJ$57)</f>
        <v>45158.4</v>
      </c>
      <c r="E37" s="26" t="n">
        <f aca="false">SUMIF(Monthly!$C$4:$BJ$4,4,Monthly!$C$57:$BJ$57)</f>
        <v>50577.408</v>
      </c>
      <c r="F37" s="26" t="n">
        <f aca="false">SUMIF(Monthly!$C$4:$BJ$4,5,Monthly!$C$57:$BJ$57)</f>
        <v>56646.69696</v>
      </c>
      <c r="G37" s="26" t="n">
        <f aca="false">SUM(B37:F37)</f>
        <v>219702.50496</v>
      </c>
    </row>
    <row r="38" customFormat="false" ht="15" hidden="false" customHeight="false" outlineLevel="0" collapsed="false">
      <c r="A38" s="9" t="s">
        <v>283</v>
      </c>
      <c r="B38" s="26" t="n">
        <f aca="false">B36-B37</f>
        <v>-134160.919882969</v>
      </c>
      <c r="C38" s="26" t="n">
        <f aca="false">C36-C37</f>
        <v>-107889.54011298</v>
      </c>
      <c r="D38" s="26" t="n">
        <f aca="false">D36-D37</f>
        <v>-8648.97691017285</v>
      </c>
      <c r="E38" s="26" t="n">
        <f aca="false">E36-E37</f>
        <v>8003.65558683658</v>
      </c>
      <c r="F38" s="26" t="n">
        <f aca="false">F36-F37</f>
        <v>15197.8917212161</v>
      </c>
      <c r="G38" s="26" t="n">
        <f aca="false">SUM(B38:F38)</f>
        <v>-227497.889598068</v>
      </c>
    </row>
    <row r="40" customFormat="false" ht="15" hidden="false" customHeight="false" outlineLevel="0" collapsed="false">
      <c r="A40" s="7" t="s">
        <v>284</v>
      </c>
      <c r="B40" s="8"/>
      <c r="C40" s="8"/>
      <c r="D40" s="8"/>
      <c r="E40" s="8"/>
      <c r="F40" s="8"/>
      <c r="G40" s="8"/>
    </row>
    <row r="41" customFormat="false" ht="15" hidden="false" customHeight="false" outlineLevel="0" collapsed="false">
      <c r="A41" s="9" t="s">
        <v>285</v>
      </c>
      <c r="B41" s="26" t="n">
        <f aca="false">SUMIF(Monthly!$C$4:$BJ$4,1,Monthly!$C$32:$BJ$32)</f>
        <v>38101.3333333333</v>
      </c>
      <c r="C41" s="26" t="n">
        <f aca="false">SUMIF(Monthly!$C$4:$BJ$4,2,Monthly!$C$32:$BJ$32)</f>
        <v>218570.853333333</v>
      </c>
      <c r="D41" s="26" t="n">
        <f aca="false">SUMIF(Monthly!$C$4:$BJ$4,3,Monthly!$C$32:$BJ$32)</f>
        <v>431321.101866667</v>
      </c>
      <c r="E41" s="26" t="n">
        <f aca="false">SUMIF(Monthly!$C$4:$BJ$4,4,Monthly!$C$32:$BJ$32)</f>
        <v>490828.681728</v>
      </c>
      <c r="F41" s="26" t="n">
        <f aca="false">SUMIF(Monthly!$C$4:$BJ$4,5,Monthly!$C$32:$BJ$32)</f>
        <v>549728.12353536</v>
      </c>
      <c r="G41" s="26" t="n">
        <f aca="false">SUM(B41:F41)</f>
        <v>1728550.09379669</v>
      </c>
    </row>
    <row r="42" customFormat="false" ht="15" hidden="false" customHeight="false" outlineLevel="0" collapsed="false">
      <c r="A42" s="9" t="s">
        <v>286</v>
      </c>
      <c r="B42" s="26" t="n">
        <f aca="false">SUMIF(Monthly!$C$4:$BJ$4,1,Monthly!$C$43:$BJ$43)</f>
        <v>21670</v>
      </c>
      <c r="C42" s="26" t="n">
        <f aca="false">SUMIF(Monthly!$C$4:$BJ$4,2,Monthly!$C$43:$BJ$43)</f>
        <v>91198.24</v>
      </c>
      <c r="D42" s="26" t="n">
        <f aca="false">SUMIF(Monthly!$C$4:$BJ$4,3,Monthly!$C$43:$BJ$43)</f>
        <v>156898.261333333</v>
      </c>
      <c r="E42" s="26" t="n">
        <f aca="false">SUMIF(Monthly!$C$4:$BJ$4,4,Monthly!$C$43:$BJ$43)</f>
        <v>176829.857792</v>
      </c>
      <c r="F42" s="26" t="n">
        <f aca="false">SUMIF(Monthly!$C$4:$BJ$4,5,Monthly!$C$43:$BJ$43)</f>
        <v>198049.44072704</v>
      </c>
      <c r="G42" s="26" t="n">
        <f aca="false">SUM(B42:F42)</f>
        <v>644645.799852373</v>
      </c>
    </row>
    <row r="43" customFormat="false" ht="15" hidden="false" customHeight="false" outlineLevel="0" collapsed="false">
      <c r="A43" s="9" t="s">
        <v>287</v>
      </c>
      <c r="B43" s="26" t="n">
        <f aca="false">SUMIF(Monthly!$C$4:$BJ$4,1,Monthly!$C$56:$BJ$56)</f>
        <v>96656.6666666667</v>
      </c>
      <c r="C43" s="26" t="n">
        <f aca="false">SUMIF(Monthly!$C$4:$BJ$4,2,Monthly!$C$56:$BJ$56)</f>
        <v>159794.133333333</v>
      </c>
      <c r="D43" s="26" t="n">
        <f aca="false">SUMIF(Monthly!$C$4:$BJ$4,3,Monthly!$C$56:$BJ$56)</f>
        <v>198420.992</v>
      </c>
      <c r="E43" s="26" t="n">
        <f aca="false">SUMIF(Monthly!$C$4:$BJ$4,4,Monthly!$C$56:$BJ$56)</f>
        <v>222231.51104</v>
      </c>
      <c r="F43" s="26" t="n">
        <f aca="false">SUMIF(Monthly!$C$4:$BJ$4,5,Monthly!$C$56:$BJ$56)</f>
        <v>248899.2923648</v>
      </c>
      <c r="G43" s="26" t="n">
        <f aca="false">SUM(B43:F43)</f>
        <v>926002.5954048</v>
      </c>
    </row>
    <row r="44" customFormat="false" ht="15" hidden="false" customHeight="false" outlineLevel="0" collapsed="false">
      <c r="A44" s="9" t="s">
        <v>288</v>
      </c>
      <c r="B44" s="26" t="n">
        <f aca="false">SUMIF(Monthly!$C$4:$BJ$4,1,Monthly!$C$66:$BJ$66)</f>
        <v>19668.1421051907</v>
      </c>
      <c r="C44" s="26" t="n">
        <f aca="false">SUMIF(Monthly!$C$4:$BJ$4,2,Monthly!$C$66:$BJ$66)</f>
        <v>21559.5756685352</v>
      </c>
      <c r="D44" s="26" t="n">
        <f aca="false">SUMIF(Monthly!$C$4:$BJ$4,3,Monthly!$C$66:$BJ$66)</f>
        <v>13415.002789081</v>
      </c>
      <c r="E44" s="26" t="n">
        <f aca="false">SUMIF(Monthly!$C$4:$BJ$4,4,Monthly!$C$66:$BJ$66)</f>
        <v>3540.03716662604</v>
      </c>
      <c r="F44" s="26" t="n">
        <f aca="false">SUMIF(Monthly!$C$4:$BJ$4,5,Monthly!$C$66:$BJ$66)</f>
        <v>0</v>
      </c>
      <c r="G44" s="26" t="n">
        <f aca="false">SUM(B44:F44)</f>
        <v>58182.757729433</v>
      </c>
    </row>
    <row r="45" customFormat="false" ht="15" hidden="false" customHeight="false" outlineLevel="0" collapsed="false">
      <c r="A45" s="9" t="s">
        <v>289</v>
      </c>
      <c r="B45" s="26" t="n">
        <f aca="false">SUMIF(Monthly!$C$4:$BJ$4,1,Monthly!$C$72:$BJ$72)</f>
        <v>0</v>
      </c>
      <c r="C45" s="26" t="n">
        <f aca="false">SUMIF(Monthly!$C$4:$BJ$4,2,Monthly!$C$72:$BJ$72)</f>
        <v>0</v>
      </c>
      <c r="D45" s="26" t="n">
        <f aca="false">SUMIF(Monthly!$C$4:$BJ$4,3,Monthly!$C$72:$BJ$72)</f>
        <v>0</v>
      </c>
      <c r="E45" s="26" t="n">
        <f aca="false">SUMIF(Monthly!$C$4:$BJ$4,4,Monthly!$C$72:$BJ$72)</f>
        <v>4056.60256553634</v>
      </c>
      <c r="F45" s="26" t="n">
        <f aca="false">SUMIF(Monthly!$C$4:$BJ$4,5,Monthly!$C$72:$BJ$72)</f>
        <v>6509.00706520407</v>
      </c>
      <c r="G45" s="26" t="n">
        <f aca="false">SUM(B45:F45)</f>
        <v>10565.6096307404</v>
      </c>
    </row>
    <row r="46" customFormat="false" ht="15" hidden="false" customHeight="false" outlineLevel="0" collapsed="false">
      <c r="A46" s="3" t="s">
        <v>290</v>
      </c>
      <c r="B46" s="14" t="n">
        <f aca="false">B41-B42-B43-B44-B45</f>
        <v>-99893.4754385241</v>
      </c>
      <c r="C46" s="14" t="n">
        <f aca="false">C41-C42-C43-C44-C45</f>
        <v>-53981.0956685352</v>
      </c>
      <c r="D46" s="14" t="n">
        <f aca="false">D41-D42-D43-D44-D45</f>
        <v>62586.8457442523</v>
      </c>
      <c r="E46" s="14" t="n">
        <f aca="false">E41-E42-E43-E44-E45</f>
        <v>84170.6731638377</v>
      </c>
      <c r="F46" s="14" t="n">
        <f aca="false">F41-F42-F43-F44-F45</f>
        <v>96270.383378316</v>
      </c>
      <c r="G46" s="14" t="n">
        <f aca="false">SUM(B46:F46)</f>
        <v>89153.3311793467</v>
      </c>
    </row>
    <row r="47" customFormat="false" ht="15" hidden="false" customHeight="false" outlineLevel="0" collapsed="false">
      <c r="A47" s="9" t="s">
        <v>291</v>
      </c>
      <c r="B47" s="26" t="n">
        <f aca="false">SUMIF(Monthly!$C$4:$BJ$4,1,Monthly!$C$75:$BJ$75)</f>
        <v>-128000</v>
      </c>
      <c r="C47" s="26" t="n">
        <f aca="false">SUMIF(Monthly!$C$4:$BJ$4,2,Monthly!$C$75:$BJ$75)</f>
        <v>-95200</v>
      </c>
      <c r="D47" s="26" t="n">
        <f aca="false">SUMIF(Monthly!$C$4:$BJ$4,3,Monthly!$C$75:$BJ$75)</f>
        <v>0</v>
      </c>
      <c r="E47" s="26" t="n">
        <f aca="false">SUMIF(Monthly!$C$4:$BJ$4,4,Monthly!$C$75:$BJ$75)</f>
        <v>0</v>
      </c>
      <c r="F47" s="26" t="n">
        <f aca="false">SUMIF(Monthly!$C$4:$BJ$4,5,Monthly!$C$75:$BJ$75)</f>
        <v>0</v>
      </c>
      <c r="G47" s="26" t="n">
        <f aca="false">SUM(B47:F47)</f>
        <v>-223200</v>
      </c>
    </row>
    <row r="48" customFormat="false" ht="15" hidden="false" customHeight="false" outlineLevel="0" collapsed="false">
      <c r="A48" s="9" t="s">
        <v>292</v>
      </c>
      <c r="B48" s="26" t="n">
        <f aca="false">SUMIF(Monthly!$C$4:$BJ$4,1,Monthly!$C$69:$BJ$69)</f>
        <v>20000</v>
      </c>
      <c r="C48" s="26" t="n">
        <f aca="false">SUMIF(Monthly!$C$4:$BJ$4,2,Monthly!$C$69:$BJ$69)</f>
        <v>0</v>
      </c>
      <c r="D48" s="26" t="n">
        <f aca="false">SUMIF(Monthly!$C$4:$BJ$4,3,Monthly!$C$69:$BJ$69)</f>
        <v>0</v>
      </c>
      <c r="E48" s="26" t="n">
        <f aca="false">SUMIF(Monthly!$C$4:$BJ$4,4,Monthly!$C$69:$BJ$69)</f>
        <v>0</v>
      </c>
      <c r="F48" s="26" t="n">
        <f aca="false">SUMIF(Monthly!$C$4:$BJ$4,5,Monthly!$C$69:$BJ$69)</f>
        <v>0</v>
      </c>
      <c r="G48" s="26" t="n">
        <f aca="false">SUM(B48:F48)</f>
        <v>20000</v>
      </c>
    </row>
    <row r="49" customFormat="false" ht="15" hidden="false" customHeight="false" outlineLevel="0" collapsed="false">
      <c r="A49" s="9" t="s">
        <v>293</v>
      </c>
      <c r="B49" s="26" t="n">
        <f aca="false">SUMIF(Monthly!$C$4:$BJ$4,1,Monthly!$C$64:$BJ$64)</f>
        <v>120000</v>
      </c>
      <c r="C49" s="26" t="n">
        <f aca="false">SUMIF(Monthly!$C$4:$BJ$4,2,Monthly!$C$64:$BJ$64)</f>
        <v>0</v>
      </c>
      <c r="D49" s="26" t="n">
        <f aca="false">SUMIF(Monthly!$C$4:$BJ$4,3,Monthly!$C$64:$BJ$64)</f>
        <v>0</v>
      </c>
      <c r="E49" s="26" t="n">
        <f aca="false">SUMIF(Monthly!$C$4:$BJ$4,4,Monthly!$C$64:$BJ$64)</f>
        <v>0</v>
      </c>
      <c r="F49" s="26" t="n">
        <f aca="false">SUMIF(Monthly!$C$4:$BJ$4,5,Monthly!$C$64:$BJ$64)</f>
        <v>0</v>
      </c>
      <c r="G49" s="26" t="n">
        <f aca="false">SUM(B49:F49)</f>
        <v>120000</v>
      </c>
    </row>
    <row r="50" customFormat="false" ht="15" hidden="false" customHeight="false" outlineLevel="0" collapsed="false">
      <c r="A50" s="9" t="s">
        <v>294</v>
      </c>
      <c r="B50" s="26" t="n">
        <f aca="false">SUMIF(Monthly!$C$4:$BJ$4,1,Monthly!$C$67:$BJ$67)</f>
        <v>7280.42103892868</v>
      </c>
      <c r="C50" s="26" t="n">
        <f aca="false">SUMIF(Monthly!$C$4:$BJ$4,2,Monthly!$C$67:$BJ$67)</f>
        <v>33434.6769079424</v>
      </c>
      <c r="D50" s="26" t="n">
        <f aca="false">SUMIF(Monthly!$C$4:$BJ$4,3,Monthly!$C$67:$BJ$67)</f>
        <v>41579.2497873966</v>
      </c>
      <c r="E50" s="26" t="n">
        <f aca="false">SUMIF(Monthly!$C$4:$BJ$4,4,Monthly!$C$67:$BJ$67)</f>
        <v>37705.6522657322</v>
      </c>
      <c r="F50" s="26" t="n">
        <f aca="false">SUMIF(Monthly!$C$4:$BJ$4,5,Monthly!$C$67:$BJ$67)</f>
        <v>0</v>
      </c>
      <c r="G50" s="26" t="n">
        <f aca="false">SUM(B50:F50)</f>
        <v>120000</v>
      </c>
    </row>
    <row r="51" customFormat="false" ht="15" hidden="false" customHeight="false" outlineLevel="0" collapsed="false">
      <c r="A51" s="9" t="s">
        <v>295</v>
      </c>
      <c r="B51" s="26" t="n">
        <f aca="false">SUMIF(Monthly!$C$4:$BJ$4,1,Monthly!$C$79:$BJ$79)</f>
        <v>100173.896477453</v>
      </c>
      <c r="C51" s="26" t="n">
        <f aca="false">SUMIF(Monthly!$C$4:$BJ$4,2,Monthly!$C$79:$BJ$79)</f>
        <v>182615.772576478</v>
      </c>
      <c r="D51" s="26" t="n">
        <f aca="false">SUMIF(Monthly!$C$4:$BJ$4,3,Monthly!$C$79:$BJ$79)</f>
        <v>36184.6132588259</v>
      </c>
      <c r="E51" s="26" t="n">
        <f aca="false">SUMIF(Monthly!$C$4:$BJ$4,4,Monthly!$C$79:$BJ$79)</f>
        <v>0</v>
      </c>
      <c r="F51" s="26" t="n">
        <f aca="false">SUMIF(Monthly!$C$4:$BJ$4,5,Monthly!$C$79:$BJ$79)</f>
        <v>0</v>
      </c>
      <c r="G51" s="26" t="n">
        <f aca="false">SUM(B51:F51)</f>
        <v>318974.282312756</v>
      </c>
    </row>
    <row r="52" customFormat="false" ht="15" hidden="false" customHeight="false" outlineLevel="0" collapsed="false">
      <c r="A52" s="3" t="s">
        <v>296</v>
      </c>
      <c r="B52" s="14" t="n">
        <f aca="false">B48+B49-B50+B51</f>
        <v>232893.475438524</v>
      </c>
      <c r="C52" s="14" t="n">
        <f aca="false">C48+C49-C50+C51</f>
        <v>149181.095668535</v>
      </c>
      <c r="D52" s="14" t="n">
        <f aca="false">D48+D49-D50+D51</f>
        <v>-5394.63652857075</v>
      </c>
      <c r="E52" s="14" t="n">
        <f aca="false">E48+E49-E50+E51</f>
        <v>-37705.6522657322</v>
      </c>
      <c r="F52" s="14" t="n">
        <f aca="false">F48+F49-F50+F51</f>
        <v>0</v>
      </c>
      <c r="G52" s="14" t="n">
        <f aca="false">SUM(B52:F52)</f>
        <v>338974.282312756</v>
      </c>
    </row>
    <row r="53" customFormat="false" ht="15" hidden="false" customHeight="false" outlineLevel="0" collapsed="false">
      <c r="A53" s="3" t="s">
        <v>297</v>
      </c>
      <c r="B53" s="14" t="n">
        <f aca="false">B46+B47+B52</f>
        <v>5000</v>
      </c>
      <c r="C53" s="14" t="n">
        <f aca="false">C46+C47+C52</f>
        <v>0</v>
      </c>
      <c r="D53" s="14" t="n">
        <f aca="false">D46+D47+D52</f>
        <v>57192.2092156816</v>
      </c>
      <c r="E53" s="14" t="n">
        <f aca="false">E46+E47+E52</f>
        <v>46465.0208981055</v>
      </c>
      <c r="F53" s="14" t="n">
        <f aca="false">F46+F47+F52</f>
        <v>96270.383378316</v>
      </c>
      <c r="G53" s="14" t="n">
        <f aca="false">SUM(B53:F53)</f>
        <v>204927.613492103</v>
      </c>
    </row>
    <row r="54" customFormat="false" ht="15" hidden="false" customHeight="false" outlineLevel="0" collapsed="false">
      <c r="A54" s="3" t="s">
        <v>298</v>
      </c>
      <c r="B54" s="14" t="n">
        <f aca="false">INDEX(Monthly!$C$80:$BJ$80,1,12)</f>
        <v>5000</v>
      </c>
      <c r="C54" s="14" t="n">
        <f aca="false">INDEX(Monthly!$C$80:$BJ$80,1,24)</f>
        <v>5000</v>
      </c>
      <c r="D54" s="14" t="n">
        <f aca="false">INDEX(Monthly!$C$80:$BJ$80,1,36)</f>
        <v>62192.2092156816</v>
      </c>
      <c r="E54" s="14" t="n">
        <f aca="false">INDEX(Monthly!$C$80:$BJ$80,1,48)</f>
        <v>108657.230113787</v>
      </c>
      <c r="F54" s="14" t="n">
        <f aca="false">INDEX(Monthly!$C$80:$BJ$80,1,60)</f>
        <v>204927.613492103</v>
      </c>
    </row>
    <row r="55" customFormat="false" ht="15" hidden="false" customHeight="false" outlineLevel="0" collapsed="false">
      <c r="A55" s="9" t="s">
        <v>299</v>
      </c>
      <c r="B55" s="26" t="n">
        <f aca="false">0</f>
        <v>0</v>
      </c>
      <c r="C55" s="26" t="n">
        <f aca="false">B54</f>
        <v>5000</v>
      </c>
      <c r="D55" s="26" t="n">
        <f aca="false">C54</f>
        <v>5000</v>
      </c>
      <c r="E55" s="26" t="n">
        <f aca="false">D54</f>
        <v>62192.2092156816</v>
      </c>
      <c r="F55" s="26" t="n">
        <f aca="false">E54</f>
        <v>108657.230113787</v>
      </c>
    </row>
    <row r="56" customFormat="false" ht="15" hidden="false" customHeight="false" outlineLevel="0" collapsed="false">
      <c r="A56" s="9" t="s">
        <v>300</v>
      </c>
      <c r="B56" s="26" t="n">
        <f aca="false">ROUND(B55+B53-B54,2)</f>
        <v>0</v>
      </c>
      <c r="C56" s="26" t="n">
        <f aca="false">ROUND(C55+C53-C54,2)</f>
        <v>0</v>
      </c>
      <c r="D56" s="26" t="n">
        <f aca="false">ROUND(D55+D53-D54,2)</f>
        <v>0</v>
      </c>
      <c r="E56" s="26" t="n">
        <f aca="false">ROUND(E55+E53-E54,2)</f>
        <v>0</v>
      </c>
      <c r="F56" s="26" t="n">
        <f aca="false">ROUND(F55+F53-F54,2)</f>
        <v>0</v>
      </c>
    </row>
    <row r="57" customFormat="false" ht="15" hidden="false" customHeight="false" outlineLevel="0" collapsed="false">
      <c r="A57" s="9" t="s">
        <v>301</v>
      </c>
      <c r="B57" s="26" t="n">
        <f aca="false">MIN(INDEX(Monthly!$C$80:$BJ$80,1,(1-1)*12+1):INDEX(Monthly!$C$80:$BJ$80,1,1*12))</f>
        <v>5000</v>
      </c>
      <c r="C57" s="26" t="n">
        <f aca="false">MIN(INDEX(Monthly!$C$80:$BJ$80,1,(2-1)*12+1):INDEX(Monthly!$C$80:$BJ$80,1,2*12))</f>
        <v>5000</v>
      </c>
      <c r="D57" s="26" t="n">
        <f aca="false">MIN(INDEX(Monthly!$C$80:$BJ$80,1,(3-1)*12+1):INDEX(Monthly!$C$80:$BJ$80,1,3*12))</f>
        <v>5000</v>
      </c>
      <c r="E57" s="26" t="n">
        <f aca="false">MIN(INDEX(Monthly!$C$80:$BJ$80,1,(4-1)*12+1):INDEX(Monthly!$C$80:$BJ$80,1,4*12))</f>
        <v>21412.0341593194</v>
      </c>
      <c r="F57" s="26" t="n">
        <f aca="false">MIN(INDEX(Monthly!$C$80:$BJ$80,1,(5-1)*12+1):INDEX(Monthly!$C$80:$BJ$80,1,5*12))</f>
        <v>79158.8335795697</v>
      </c>
    </row>
    <row r="59" customFormat="false" ht="15" hidden="false" customHeight="false" outlineLevel="0" collapsed="false">
      <c r="A59" s="7" t="s">
        <v>302</v>
      </c>
      <c r="B59" s="8"/>
      <c r="C59" s="8"/>
      <c r="D59" s="8"/>
      <c r="E59" s="8"/>
      <c r="F59" s="8"/>
      <c r="G59" s="8"/>
    </row>
    <row r="60" customFormat="false" ht="15" hidden="false" customHeight="false" outlineLevel="0" collapsed="false">
      <c r="A60" s="9" t="s">
        <v>303</v>
      </c>
      <c r="B60" s="26" t="n">
        <f aca="false">B54</f>
        <v>5000</v>
      </c>
      <c r="C60" s="26" t="n">
        <f aca="false">C54</f>
        <v>5000</v>
      </c>
      <c r="D60" s="26" t="n">
        <f aca="false">D54</f>
        <v>62192.2092156816</v>
      </c>
      <c r="E60" s="26" t="n">
        <f aca="false">E54</f>
        <v>108657.230113787</v>
      </c>
      <c r="F60" s="26" t="n">
        <f aca="false">F54</f>
        <v>204927.613492103</v>
      </c>
    </row>
    <row r="61" customFormat="false" ht="15" hidden="false" customHeight="false" outlineLevel="0" collapsed="false">
      <c r="A61" s="9" t="s">
        <v>304</v>
      </c>
      <c r="B61" s="26" t="n">
        <f aca="false">INDEX(Monthly!$C$33:$BJ$33,1,12)</f>
        <v>2112</v>
      </c>
      <c r="C61" s="26" t="n">
        <f aca="false">INDEX(Monthly!$C$33:$BJ$33,1,24)</f>
        <v>4433.52</v>
      </c>
      <c r="D61" s="26" t="n">
        <f aca="false">INDEX(Monthly!$C$33:$BJ$33,1,36)</f>
        <v>6952.51199999999</v>
      </c>
      <c r="E61" s="26" t="n">
        <f aca="false">INDEX(Monthly!$C$33:$BJ$33,1,48)</f>
        <v>7786.81343999999</v>
      </c>
      <c r="F61" s="26" t="n">
        <f aca="false">INDEX(Monthly!$C$33:$BJ$33,1,60)</f>
        <v>8721.23105279998</v>
      </c>
    </row>
    <row r="62" customFormat="false" ht="15" hidden="false" customHeight="false" outlineLevel="0" collapsed="false">
      <c r="A62" s="9" t="s">
        <v>305</v>
      </c>
      <c r="B62" s="26" t="n">
        <f aca="false">INDEX(Monthly!$C$44:$BJ$44,1,12)</f>
        <v>353.888888888889</v>
      </c>
      <c r="C62" s="26" t="n">
        <f aca="false">INDEX(Monthly!$C$44:$BJ$44,1,24)</f>
        <v>5763.92444444445</v>
      </c>
      <c r="D62" s="26" t="n">
        <f aca="false">INDEX(Monthly!$C$44:$BJ$44,1,36)</f>
        <v>5904.11235555556</v>
      </c>
      <c r="E62" s="26" t="n">
        <f aca="false">INDEX(Monthly!$C$44:$BJ$44,1,48)</f>
        <v>6612.60583822222</v>
      </c>
      <c r="F62" s="26" t="n">
        <f aca="false">INDEX(Monthly!$C$44:$BJ$44,1,60)</f>
        <v>7406.11853880889</v>
      </c>
    </row>
    <row r="63" customFormat="false" ht="15" hidden="false" customHeight="false" outlineLevel="0" collapsed="false">
      <c r="A63" s="9" t="s">
        <v>306</v>
      </c>
      <c r="B63" s="26" t="n">
        <f aca="false">INDEX(Monthly!$C$82:$BJ$82,1,12)</f>
        <v>128000</v>
      </c>
      <c r="C63" s="26" t="n">
        <f aca="false">INDEX(Monthly!$C$82:$BJ$82,1,24)</f>
        <v>223200</v>
      </c>
      <c r="D63" s="26" t="n">
        <f aca="false">INDEX(Monthly!$C$82:$BJ$82,1,36)</f>
        <v>223200</v>
      </c>
      <c r="E63" s="26" t="n">
        <f aca="false">INDEX(Monthly!$C$82:$BJ$82,1,48)</f>
        <v>223200</v>
      </c>
      <c r="F63" s="26" t="n">
        <f aca="false">INDEX(Monthly!$C$82:$BJ$82,1,60)</f>
        <v>223200</v>
      </c>
    </row>
    <row r="64" customFormat="false" ht="15" hidden="false" customHeight="false" outlineLevel="0" collapsed="false">
      <c r="A64" s="9" t="s">
        <v>307</v>
      </c>
      <c r="B64" s="26" t="n">
        <f aca="false">INDEX(Monthly!$C$83:$BJ$83,1,12)</f>
        <v>9733.33333333333</v>
      </c>
      <c r="C64" s="26" t="n">
        <f aca="false">INDEX(Monthly!$C$83:$BJ$83,1,24)</f>
        <v>31053.3333333333</v>
      </c>
      <c r="D64" s="26" t="n">
        <f aca="false">INDEX(Monthly!$C$83:$BJ$83,1,36)</f>
        <v>55733.3333333333</v>
      </c>
      <c r="E64" s="26" t="n">
        <f aca="false">INDEX(Monthly!$C$83:$BJ$83,1,48)</f>
        <v>80413.3333333333</v>
      </c>
      <c r="F64" s="26" t="n">
        <f aca="false">INDEX(Monthly!$C$83:$BJ$83,1,60)</f>
        <v>105093.333333333</v>
      </c>
    </row>
    <row r="65" customFormat="false" ht="15" hidden="false" customHeight="false" outlineLevel="0" collapsed="false">
      <c r="A65" s="9" t="s">
        <v>308</v>
      </c>
      <c r="B65" s="26" t="n">
        <f aca="false">B63-B64</f>
        <v>118266.666666667</v>
      </c>
      <c r="C65" s="26" t="n">
        <f aca="false">C63-C64</f>
        <v>192146.666666667</v>
      </c>
      <c r="D65" s="26" t="n">
        <f aca="false">D63-D64</f>
        <v>167466.666666667</v>
      </c>
      <c r="E65" s="26" t="n">
        <f aca="false">E63-E64</f>
        <v>142786.666666667</v>
      </c>
      <c r="F65" s="26" t="n">
        <f aca="false">F63-F64</f>
        <v>118106.666666667</v>
      </c>
    </row>
    <row r="66" customFormat="false" ht="15" hidden="false" customHeight="false" outlineLevel="0" collapsed="false">
      <c r="A66" s="3" t="s">
        <v>309</v>
      </c>
      <c r="B66" s="14" t="n">
        <f aca="false">B60+B61+B65+B62</f>
        <v>125732.555555556</v>
      </c>
      <c r="C66" s="14" t="n">
        <f aca="false">C60+C61+C65+C62</f>
        <v>207344.111111111</v>
      </c>
      <c r="D66" s="14" t="n">
        <f aca="false">D60+D61+D65+D62</f>
        <v>242515.500237904</v>
      </c>
      <c r="E66" s="14" t="n">
        <f aca="false">E60+E61+E65+E62</f>
        <v>265843.316058676</v>
      </c>
      <c r="F66" s="14" t="n">
        <f aca="false">F60+F61+F65+F62</f>
        <v>339161.629750379</v>
      </c>
    </row>
    <row r="67" customFormat="false" ht="15" hidden="false" customHeight="false" outlineLevel="0" collapsed="false">
      <c r="A67" s="9" t="s">
        <v>310</v>
      </c>
      <c r="B67" s="26" t="n">
        <f aca="false">INDEX(Monthly!$C$68:$BJ$68,1,12)</f>
        <v>112719.578961071</v>
      </c>
      <c r="C67" s="26" t="n">
        <f aca="false">INDEX(Monthly!$C$68:$BJ$68,1,24)</f>
        <v>79284.9020531289</v>
      </c>
      <c r="D67" s="26" t="n">
        <f aca="false">INDEX(Monthly!$C$68:$BJ$68,1,36)</f>
        <v>37705.6522657322</v>
      </c>
      <c r="E67" s="26" t="n">
        <f aca="false">INDEX(Monthly!$C$68:$BJ$68,1,48)</f>
        <v>0</v>
      </c>
      <c r="F67" s="26" t="n">
        <f aca="false">INDEX(Monthly!$C$68:$BJ$68,1,60)</f>
        <v>0</v>
      </c>
    </row>
    <row r="68" customFormat="false" ht="15" hidden="false" customHeight="false" outlineLevel="0" collapsed="false">
      <c r="A68" s="9" t="s">
        <v>311</v>
      </c>
      <c r="B68" s="26" t="n">
        <f aca="false">B34</f>
        <v>0</v>
      </c>
      <c r="C68" s="26" t="n">
        <f aca="false">C34</f>
        <v>0</v>
      </c>
      <c r="D68" s="26" t="n">
        <f aca="false">D34</f>
        <v>4056.60256553635</v>
      </c>
      <c r="E68" s="26" t="n">
        <f aca="false">E34</f>
        <v>6509.00706520407</v>
      </c>
      <c r="F68" s="26" t="n">
        <f aca="false">F34</f>
        <v>7982.73207569068</v>
      </c>
    </row>
    <row r="69" customFormat="false" ht="15" hidden="false" customHeight="false" outlineLevel="0" collapsed="false">
      <c r="A69" s="3" t="s">
        <v>312</v>
      </c>
      <c r="B69" s="14" t="n">
        <f aca="false">B67+B68</f>
        <v>112719.578961071</v>
      </c>
      <c r="C69" s="14" t="n">
        <f aca="false">C67+C68</f>
        <v>79284.9020531289</v>
      </c>
      <c r="D69" s="14" t="n">
        <f aca="false">D67+D68</f>
        <v>41762.2548312686</v>
      </c>
      <c r="E69" s="14" t="n">
        <f aca="false">E67+E68</f>
        <v>6509.00706520407</v>
      </c>
      <c r="F69" s="14" t="n">
        <f aca="false">F67+F68</f>
        <v>7982.73207569068</v>
      </c>
    </row>
    <row r="70" customFormat="false" ht="15" hidden="false" customHeight="false" outlineLevel="0" collapsed="false">
      <c r="A70" s="9" t="s">
        <v>313</v>
      </c>
      <c r="B70" s="26" t="n">
        <f aca="false">INDEX(Monthly!$C$85:$BJ$85,1,12)</f>
        <v>20000</v>
      </c>
      <c r="C70" s="26" t="n">
        <f aca="false">INDEX(Monthly!$C$85:$BJ$85,1,24)</f>
        <v>20000</v>
      </c>
      <c r="D70" s="26" t="n">
        <f aca="false">INDEX(Monthly!$C$85:$BJ$85,1,36)</f>
        <v>20000</v>
      </c>
      <c r="E70" s="26" t="n">
        <f aca="false">INDEX(Monthly!$C$85:$BJ$85,1,48)</f>
        <v>20000</v>
      </c>
      <c r="F70" s="26" t="n">
        <f aca="false">INDEX(Monthly!$C$85:$BJ$85,1,60)</f>
        <v>20000</v>
      </c>
    </row>
    <row r="71" customFormat="false" ht="15" hidden="false" customHeight="false" outlineLevel="0" collapsed="false">
      <c r="A71" s="9" t="s">
        <v>314</v>
      </c>
      <c r="B71" s="26" t="n">
        <f aca="false">INDEX(Monthly!$C$84:$BJ$84,1,12)</f>
        <v>0</v>
      </c>
      <c r="C71" s="26" t="n">
        <f aca="false">INDEX(Monthly!$C$84:$BJ$84,1,24)</f>
        <v>0</v>
      </c>
      <c r="D71" s="26" t="n">
        <f aca="false">INDEX(Monthly!$C$84:$BJ$84,1,36)</f>
        <v>0</v>
      </c>
      <c r="E71" s="26" t="n">
        <f aca="false">INDEX(Monthly!$C$84:$BJ$84,1,48)</f>
        <v>0</v>
      </c>
      <c r="F71" s="26" t="n">
        <f aca="false">INDEX(Monthly!$C$84:$BJ$84,1,60)</f>
        <v>0</v>
      </c>
    </row>
    <row r="72" customFormat="false" ht="15" hidden="false" customHeight="false" outlineLevel="0" collapsed="false">
      <c r="A72" s="9" t="s">
        <v>315</v>
      </c>
      <c r="B72" s="26" t="n">
        <f aca="false">INDEX(Monthly!$C$81:$BJ$81,1,12)</f>
        <v>100173.896477453</v>
      </c>
      <c r="C72" s="26" t="n">
        <f aca="false">INDEX(Monthly!$C$81:$BJ$81,1,24)</f>
        <v>282789.669053931</v>
      </c>
      <c r="D72" s="26" t="n">
        <f aca="false">INDEX(Monthly!$C$81:$BJ$81,1,36)</f>
        <v>318974.282312756</v>
      </c>
      <c r="E72" s="26" t="n">
        <f aca="false">INDEX(Monthly!$C$81:$BJ$81,1,48)</f>
        <v>318974.282312756</v>
      </c>
      <c r="F72" s="26" t="n">
        <f aca="false">INDEX(Monthly!$C$81:$BJ$81,1,60)</f>
        <v>318974.282312756</v>
      </c>
    </row>
    <row r="73" customFormat="false" ht="15" hidden="false" customHeight="false" outlineLevel="0" collapsed="false">
      <c r="A73" s="9" t="s">
        <v>316</v>
      </c>
      <c r="B73" s="26" t="n">
        <f aca="false">0+B35</f>
        <v>-107160.919882969</v>
      </c>
      <c r="C73" s="26" t="n">
        <f aca="false">B73+C35</f>
        <v>-174730.459995948</v>
      </c>
      <c r="D73" s="26" t="n">
        <f aca="false">C73+D35</f>
        <v>-138221.036906121</v>
      </c>
      <c r="E73" s="26" t="n">
        <f aca="false">D73+E35</f>
        <v>-79639.9733192844</v>
      </c>
      <c r="F73" s="26" t="n">
        <f aca="false">E73+F35</f>
        <v>-7795.38463806831</v>
      </c>
    </row>
    <row r="74" customFormat="false" ht="15" hidden="false" customHeight="false" outlineLevel="0" collapsed="false">
      <c r="A74" s="3" t="s">
        <v>317</v>
      </c>
      <c r="B74" s="14" t="n">
        <f aca="false">B70+B71+B72+B73</f>
        <v>13012.9765944842</v>
      </c>
      <c r="C74" s="14" t="n">
        <f aca="false">C70+C71+C72+C73</f>
        <v>128059.209057982</v>
      </c>
      <c r="D74" s="14" t="n">
        <f aca="false">D70+D71+D72+D73</f>
        <v>200753.245406635</v>
      </c>
      <c r="E74" s="14" t="n">
        <f aca="false">E70+E71+E72+E73</f>
        <v>259334.308993472</v>
      </c>
      <c r="F74" s="14" t="n">
        <f aca="false">F70+F71+F72+F73</f>
        <v>331178.897674688</v>
      </c>
    </row>
    <row r="75" customFormat="false" ht="15" hidden="false" customHeight="false" outlineLevel="0" collapsed="false">
      <c r="A75" s="3" t="s">
        <v>318</v>
      </c>
      <c r="B75" s="14" t="n">
        <f aca="false">B69+B74</f>
        <v>125732.555555556</v>
      </c>
      <c r="C75" s="14" t="n">
        <f aca="false">C69+C74</f>
        <v>207344.111111111</v>
      </c>
      <c r="D75" s="14" t="n">
        <f aca="false">D69+D74</f>
        <v>242515.500237904</v>
      </c>
      <c r="E75" s="14" t="n">
        <f aca="false">E69+E74</f>
        <v>265843.316058676</v>
      </c>
      <c r="F75" s="14" t="n">
        <f aca="false">F69+F74</f>
        <v>339161.629750379</v>
      </c>
    </row>
    <row r="76" customFormat="false" ht="15" hidden="false" customHeight="false" outlineLevel="0" collapsed="false">
      <c r="A76" s="9" t="s">
        <v>319</v>
      </c>
      <c r="B76" s="26" t="n">
        <f aca="false">ROUND(B66-B75,2)</f>
        <v>0</v>
      </c>
      <c r="C76" s="26" t="n">
        <f aca="false">ROUND(C66-C75,2)</f>
        <v>0</v>
      </c>
      <c r="D76" s="26" t="n">
        <f aca="false">ROUND(D66-D75,2)</f>
        <v>0</v>
      </c>
      <c r="E76" s="26" t="n">
        <f aca="false">ROUND(E66-E75,2)</f>
        <v>0</v>
      </c>
      <c r="F76" s="26" t="n">
        <f aca="false">ROUND(F66-F75,2)</f>
        <v>0</v>
      </c>
    </row>
    <row r="78" customFormat="false" ht="15" hidden="false" customHeight="false" outlineLevel="0" collapsed="false">
      <c r="A78" s="7" t="s">
        <v>320</v>
      </c>
      <c r="B78" s="8"/>
      <c r="C78" s="8"/>
      <c r="D78" s="8"/>
      <c r="E78" s="8"/>
      <c r="F78" s="8"/>
      <c r="G78" s="8"/>
    </row>
    <row r="79" customFormat="false" ht="15" hidden="false" customHeight="false" outlineLevel="0" collapsed="false">
      <c r="A79" s="9" t="s">
        <v>321</v>
      </c>
      <c r="B79" s="26" t="n">
        <f aca="false">B30+B50</f>
        <v>26948.5631441194</v>
      </c>
      <c r="C79" s="26" t="n">
        <f aca="false">C30+C50</f>
        <v>54994.2525764777</v>
      </c>
      <c r="D79" s="26" t="n">
        <f aca="false">D30+D50</f>
        <v>54994.2525764777</v>
      </c>
      <c r="E79" s="26" t="n">
        <f aca="false">E30+E50</f>
        <v>41245.6894323583</v>
      </c>
      <c r="F79" s="26" t="n">
        <f aca="false">F30+F50</f>
        <v>0</v>
      </c>
      <c r="G79" s="26" t="n">
        <f aca="false">SUM(B79:F79)</f>
        <v>178182.757729433</v>
      </c>
    </row>
    <row r="80" customFormat="false" ht="15" hidden="false" customHeight="false" outlineLevel="0" collapsed="false">
      <c r="A80" s="9" t="s">
        <v>322</v>
      </c>
      <c r="B80" s="23" t="n">
        <f aca="false">IF(B79&lt;1,"n/a",(B27-B45)/B79)</f>
        <v>-2.88547645485183</v>
      </c>
      <c r="C80" s="23" t="n">
        <f aca="false">IF(C79&lt;1,"n/a",(C27-C45)/C79)</f>
        <v>-0.448955359655254</v>
      </c>
      <c r="D80" s="23" t="n">
        <f aca="false">IF(D79&lt;1,"n/a",(D27-D45)/D79)</f>
        <v>1.43034998675643</v>
      </c>
      <c r="E80" s="23" t="n">
        <f aca="false">IF(E79&lt;1,"n/a",(E27-E45)/E79)</f>
        <v>2.16394746897136</v>
      </c>
      <c r="F80" s="23" t="str">
        <f aca="false">IF(F79&lt;1,"n/a",(F27-F45)/F79)</f>
        <v>n/a</v>
      </c>
    </row>
    <row r="81" customFormat="false" ht="15" hidden="false" customHeight="false" outlineLevel="0" collapsed="false">
      <c r="A81" s="9" t="s">
        <v>323</v>
      </c>
      <c r="B81" s="25" t="n">
        <f aca="false">IF(B7=0,0,B36/B7)</f>
        <v>-2.66481067348231</v>
      </c>
      <c r="C81" s="25" t="n">
        <f aca="false">IF(C7=0,0,C36/C7)</f>
        <v>-0.305893495068819</v>
      </c>
      <c r="D81" s="25" t="n">
        <f aca="false">IF(D7=0,0,D36/D7)</f>
        <v>0.0841541010293247</v>
      </c>
      <c r="E81" s="25" t="n">
        <f aca="false">IF(E7=0,0,E36/E7)</f>
        <v>0.119148818585799</v>
      </c>
      <c r="F81" s="25" t="n">
        <f aca="false">IF(F7=0,0,F36/F7)</f>
        <v>0.130469358840746</v>
      </c>
    </row>
    <row r="83" customFormat="false" ht="15" hidden="false" customHeight="false" outlineLevel="0" collapsed="false">
      <c r="A83" s="3" t="s">
        <v>324</v>
      </c>
    </row>
    <row r="84" customFormat="false" ht="15" hidden="false" customHeight="false" outlineLevel="0" collapsed="false">
      <c r="A84" s="9" t="s">
        <v>190</v>
      </c>
      <c r="B84" s="26" t="n">
        <f aca="false">SUMIF(Monthly!$C$4:$BJ$4,1,Monthly!$C$15:$BJ$15)</f>
        <v>25066.6666666667</v>
      </c>
      <c r="C84" s="26" t="n">
        <f aca="false">SUMIF(Monthly!$C$4:$BJ$4,2,Monthly!$C$15:$BJ$15)</f>
        <v>79466.6666666667</v>
      </c>
      <c r="D84" s="26" t="n">
        <f aca="false">SUMIF(Monthly!$C$4:$BJ$4,3,Monthly!$C$15:$BJ$15)</f>
        <v>108800</v>
      </c>
      <c r="E84" s="26" t="n">
        <f aca="false">SUMIF(Monthly!$C$4:$BJ$4,4,Monthly!$C$15:$BJ$15)</f>
        <v>108800</v>
      </c>
      <c r="F84" s="26" t="n">
        <f aca="false">SUMIF(Monthly!$C$4:$BJ$4,5,Monthly!$C$15:$BJ$15)</f>
        <v>108800</v>
      </c>
      <c r="G84" s="26" t="n">
        <f aca="false">SUM(B84:F84)</f>
        <v>430933.333333333</v>
      </c>
    </row>
    <row r="85" customFormat="false" ht="15" hidden="false" customHeight="false" outlineLevel="0" collapsed="false">
      <c r="A85" s="9" t="s">
        <v>191</v>
      </c>
      <c r="B85" s="26" t="n">
        <f aca="false">SUMIF(Monthly!$C$4:$BJ$4,1,Monthly!$C$16:$BJ$16)</f>
        <v>4000</v>
      </c>
      <c r="C85" s="26" t="n">
        <f aca="false">SUMIF(Monthly!$C$4:$BJ$4,2,Monthly!$C$16:$BJ$16)</f>
        <v>8000</v>
      </c>
      <c r="D85" s="26" t="n">
        <f aca="false">SUMIF(Monthly!$C$4:$BJ$4,3,Monthly!$C$16:$BJ$16)</f>
        <v>8000</v>
      </c>
      <c r="E85" s="26" t="n">
        <f aca="false">SUMIF(Monthly!$C$4:$BJ$4,4,Monthly!$C$16:$BJ$16)</f>
        <v>8000</v>
      </c>
      <c r="F85" s="26" t="n">
        <f aca="false">SUMIF(Monthly!$C$4:$BJ$4,5,Monthly!$C$16:$BJ$16)</f>
        <v>8000</v>
      </c>
      <c r="G85" s="26" t="n">
        <f aca="false">SUM(B85:F85)</f>
        <v>36000</v>
      </c>
    </row>
    <row r="86" customFormat="false" ht="15" hidden="false" customHeight="false" outlineLevel="0" collapsed="false">
      <c r="A86" s="9" t="s">
        <v>325</v>
      </c>
      <c r="B86" s="26" t="n">
        <f aca="false">SUMIF(Monthly!$C$4:$BJ$4,1,Monthly!$C$17:$BJ$17)</f>
        <v>21066.6666666667</v>
      </c>
      <c r="C86" s="26" t="n">
        <f aca="false">SUMIF(Monthly!$C$4:$BJ$4,2,Monthly!$C$17:$BJ$17)</f>
        <v>71466.6666666667</v>
      </c>
      <c r="D86" s="26" t="n">
        <f aca="false">SUMIF(Monthly!$C$4:$BJ$4,3,Monthly!$C$17:$BJ$17)</f>
        <v>100800</v>
      </c>
      <c r="E86" s="26" t="n">
        <f aca="false">SUMIF(Monthly!$C$4:$BJ$4,4,Monthly!$C$17:$BJ$17)</f>
        <v>100800</v>
      </c>
      <c r="F86" s="26" t="n">
        <f aca="false">SUMIF(Monthly!$C$4:$BJ$4,5,Monthly!$C$17:$BJ$17)</f>
        <v>100800</v>
      </c>
      <c r="G86" s="26" t="n">
        <f aca="false">SUM(B86:F86)</f>
        <v>394933.333333333</v>
      </c>
    </row>
    <row r="87" customFormat="false" ht="15" hidden="false" customHeight="false" outlineLevel="0" collapsed="false">
      <c r="A87" s="9" t="s">
        <v>326</v>
      </c>
      <c r="B87" s="26" t="n">
        <f aca="false">SUMIF(Monthly!$C$4:$BJ$4,1,Monthly!$C$14:$BJ$14)</f>
        <v>18800</v>
      </c>
      <c r="C87" s="26" t="n">
        <f aca="false">SUMIF(Monthly!$C$4:$BJ$4,2,Monthly!$C$14:$BJ$14)</f>
        <v>59600</v>
      </c>
      <c r="D87" s="26" t="n">
        <f aca="false">SUMIF(Monthly!$C$4:$BJ$4,3,Monthly!$C$14:$BJ$14)</f>
        <v>81600</v>
      </c>
      <c r="E87" s="26" t="n">
        <f aca="false">SUMIF(Monthly!$C$4:$BJ$4,4,Monthly!$C$14:$BJ$14)</f>
        <v>81600</v>
      </c>
      <c r="F87" s="26" t="n">
        <f aca="false">SUMIF(Monthly!$C$4:$BJ$4,5,Monthly!$C$14:$BJ$14)</f>
        <v>81600</v>
      </c>
      <c r="G87" s="26" t="n">
        <f aca="false">SUM(B87:F87)</f>
        <v>323200</v>
      </c>
    </row>
    <row r="88" customFormat="false" ht="15" hidden="false" customHeight="false" outlineLevel="0" collapsed="false">
      <c r="A88" s="9" t="s">
        <v>327</v>
      </c>
      <c r="B88" s="26" t="n">
        <f aca="false">SUMIF(Monthly!$C$4:$BJ$4,1,Monthly!$C$18:$BJ$18)</f>
        <v>3250</v>
      </c>
      <c r="C88" s="26" t="n">
        <f aca="false">SUMIF(Monthly!$C$4:$BJ$4,2,Monthly!$C$18:$BJ$18)</f>
        <v>16055</v>
      </c>
      <c r="D88" s="26" t="n">
        <f aca="false">SUMIF(Monthly!$C$4:$BJ$4,3,Monthly!$C$18:$BJ$18)</f>
        <v>26065</v>
      </c>
      <c r="E88" s="26" t="n">
        <f aca="false">SUMIF(Monthly!$C$4:$BJ$4,4,Monthly!$C$18:$BJ$18)</f>
        <v>26520</v>
      </c>
      <c r="F88" s="26" t="n">
        <f aca="false">SUMIF(Monthly!$C$4:$BJ$4,5,Monthly!$C$18:$BJ$18)</f>
        <v>26520</v>
      </c>
      <c r="G88" s="26" t="n">
        <f aca="false">SUM(B88:F88)</f>
        <v>98410</v>
      </c>
    </row>
    <row r="89" customFormat="false" ht="15" hidden="false" customHeight="false" outlineLevel="0" collapsed="false">
      <c r="A89" s="9" t="s">
        <v>328</v>
      </c>
      <c r="B89" s="26" t="n">
        <f aca="false">SUMIF(Monthly!$C$4:$BJ$4,1,Monthly!$C$21:$BJ$21)</f>
        <v>2600</v>
      </c>
      <c r="C89" s="26" t="n">
        <f aca="false">SUMIF(Monthly!$C$4:$BJ$4,2,Monthly!$C$21:$BJ$21)</f>
        <v>12844</v>
      </c>
      <c r="D89" s="26" t="n">
        <f aca="false">SUMIF(Monthly!$C$4:$BJ$4,3,Monthly!$C$21:$BJ$21)</f>
        <v>20852</v>
      </c>
      <c r="E89" s="26" t="n">
        <f aca="false">SUMIF(Monthly!$C$4:$BJ$4,4,Monthly!$C$21:$BJ$21)</f>
        <v>21216</v>
      </c>
      <c r="F89" s="26" t="n">
        <f aca="false">SUMIF(Monthly!$C$4:$BJ$4,5,Monthly!$C$21:$BJ$21)</f>
        <v>21216</v>
      </c>
      <c r="G89" s="26" t="n">
        <f aca="false">SUM(B89:F89)</f>
        <v>78728</v>
      </c>
    </row>
    <row r="90" customFormat="false" ht="15" hidden="false" customHeight="false" outlineLevel="0" collapsed="false">
      <c r="A90" s="9" t="s">
        <v>200</v>
      </c>
      <c r="B90" s="26" t="n">
        <f aca="false">SUMIF(Monthly!$C$4:$BJ$4,1,Monthly!$C$25:$BJ$25)</f>
        <v>2513.33333333333</v>
      </c>
      <c r="C90" s="26" t="n">
        <f aca="false">SUMIF(Monthly!$C$4:$BJ$4,2,Monthly!$C$25:$BJ$25)</f>
        <v>11670.3333333333</v>
      </c>
      <c r="D90" s="26" t="n">
        <f aca="false">SUMIF(Monthly!$C$4:$BJ$4,3,Monthly!$C$25:$BJ$25)</f>
        <v>20959.6666666667</v>
      </c>
      <c r="E90" s="26" t="n">
        <f aca="false">SUMIF(Monthly!$C$4:$BJ$4,4,Monthly!$C$25:$BJ$25)</f>
        <v>21216</v>
      </c>
      <c r="F90" s="26" t="n">
        <f aca="false">SUMIF(Monthly!$C$4:$BJ$4,5,Monthly!$C$25:$BJ$25)</f>
        <v>21216</v>
      </c>
      <c r="G90" s="26" t="n">
        <f aca="false">SUM(B90:F90)</f>
        <v>77575.3333333333</v>
      </c>
    </row>
    <row r="91" customFormat="false" ht="15" hidden="false" customHeight="false" outlineLevel="0" collapsed="false">
      <c r="A91" s="9" t="s">
        <v>329</v>
      </c>
      <c r="B91" s="26" t="n">
        <f aca="false">SUMIF(Monthly!$C$4:$BJ$4,1,Monthly!$C$24:$BJ$24)</f>
        <v>8800</v>
      </c>
      <c r="C91" s="26" t="n">
        <f aca="false">SUMIF(Monthly!$C$4:$BJ$4,2,Monthly!$C$24:$BJ$24)</f>
        <v>15400</v>
      </c>
      <c r="D91" s="26" t="n">
        <f aca="false">SUMIF(Monthly!$C$4:$BJ$4,3,Monthly!$C$24:$BJ$24)</f>
        <v>22000</v>
      </c>
      <c r="E91" s="26" t="n">
        <f aca="false">SUMIF(Monthly!$C$4:$BJ$4,4,Monthly!$C$24:$BJ$24)</f>
        <v>22000</v>
      </c>
      <c r="F91" s="26" t="n">
        <f aca="false">SUMIF(Monthly!$C$4:$BJ$4,5,Monthly!$C$24:$BJ$24)</f>
        <v>22000</v>
      </c>
      <c r="G91" s="26" t="n">
        <f aca="false">SUM(B91:F91)</f>
        <v>90200</v>
      </c>
    </row>
    <row r="92" customFormat="false" ht="15" hidden="false" customHeight="false" outlineLevel="0" collapsed="false">
      <c r="A92" s="9" t="s">
        <v>330</v>
      </c>
      <c r="B92" s="26" t="n">
        <f aca="false">INDEX(Monthly!$C$26:$BJ$26,1,12)</f>
        <v>86.6666666666666</v>
      </c>
      <c r="C92" s="26" t="n">
        <f aca="false">INDEX(Monthly!$C$26:$BJ$26,1,24)</f>
        <v>1260.33333333333</v>
      </c>
      <c r="D92" s="26" t="n">
        <f aca="false">INDEX(Monthly!$C$26:$BJ$26,1,36)</f>
        <v>1152.66666666667</v>
      </c>
      <c r="E92" s="26" t="n">
        <f aca="false">INDEX(Monthly!$C$26:$BJ$26,1,48)</f>
        <v>1152.66666666667</v>
      </c>
      <c r="F92" s="26" t="n">
        <f aca="false">INDEX(Monthly!$C$26:$BJ$26,1,60)</f>
        <v>1152.66666666667</v>
      </c>
    </row>
    <row r="93" customFormat="false" ht="15" hidden="false" customHeight="false" outlineLevel="0" collapsed="false">
      <c r="A93" s="9" t="s">
        <v>331</v>
      </c>
      <c r="B93" s="26" t="n">
        <f aca="false">INDEX(Monthly!$C$10:$BJ$10,1,1*12)+INDEX(Monthly!$C$11:$BJ$11,1,1*12)</f>
        <v>16</v>
      </c>
      <c r="C93" s="26" t="n">
        <f aca="false">INDEX(Monthly!$C$10:$BJ$10,1,2*12)+INDEX(Monthly!$C$11:$BJ$11,1,2*12)</f>
        <v>32</v>
      </c>
      <c r="D93" s="26" t="n">
        <f aca="false">INDEX(Monthly!$C$10:$BJ$10,1,3*12)+INDEX(Monthly!$C$11:$BJ$11,1,3*12)</f>
        <v>32</v>
      </c>
      <c r="E93" s="26" t="n">
        <f aca="false">INDEX(Monthly!$C$10:$BJ$10,1,4*12)+INDEX(Monthly!$C$11:$BJ$11,1,4*12)</f>
        <v>32</v>
      </c>
      <c r="F93" s="26" t="n">
        <f aca="false">INDEX(Monthly!$C$10:$BJ$10,1,5*12)+INDEX(Monthly!$C$11:$BJ$11,1,5*12)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21" t="s">
        <v>332</v>
      </c>
    </row>
    <row r="3" customFormat="false" ht="15" hidden="false" customHeight="false" outlineLevel="0" collapsed="false">
      <c r="A3" s="6"/>
      <c r="B3" s="6" t="s">
        <v>333</v>
      </c>
      <c r="C3" s="6" t="s">
        <v>260</v>
      </c>
      <c r="D3" s="6" t="s">
        <v>261</v>
      </c>
      <c r="E3" s="6" t="s">
        <v>262</v>
      </c>
      <c r="F3" s="6" t="s">
        <v>263</v>
      </c>
      <c r="G3" s="6" t="s">
        <v>264</v>
      </c>
    </row>
    <row r="4" customFormat="false" ht="15" hidden="false" customHeight="false" outlineLevel="0" collapsed="false">
      <c r="A4" s="3" t="s">
        <v>334</v>
      </c>
    </row>
    <row r="5" customFormat="false" ht="15" hidden="false" customHeight="false" outlineLevel="0" collapsed="false">
      <c r="A5" s="9" t="s">
        <v>335</v>
      </c>
      <c r="B5" s="26" t="n">
        <f aca="false">-(Assumptions!$F$76+Assumptions!$F$77+Assumptions!$F$9*(Assumptions!$F$78+Assumptions!$F$79))</f>
        <v>-213000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</row>
    <row r="6" customFormat="false" ht="15" hidden="false" customHeight="false" outlineLevel="0" collapsed="false">
      <c r="A6" s="9" t="s">
        <v>231</v>
      </c>
      <c r="B6" s="26" t="n">
        <v>0</v>
      </c>
      <c r="C6" s="26" t="n">
        <f aca="false">Annual!B27</f>
        <v>-77759.4444444445</v>
      </c>
      <c r="D6" s="26" t="n">
        <f aca="false">Annual!C27</f>
        <v>-24689.9644444444</v>
      </c>
      <c r="E6" s="26" t="n">
        <f aca="false">Annual!D27</f>
        <v>78661.0284444445</v>
      </c>
      <c r="F6" s="26" t="n">
        <f aca="false">Annual!E27</f>
        <v>93310.1078186667</v>
      </c>
      <c r="G6" s="26" t="n">
        <f aca="false">Annual!F27</f>
        <v>104507.320756907</v>
      </c>
    </row>
    <row r="7" customFormat="false" ht="15" hidden="false" customHeight="false" outlineLevel="0" collapsed="false">
      <c r="A7" s="9" t="s">
        <v>336</v>
      </c>
      <c r="B7" s="26" t="n">
        <v>0</v>
      </c>
      <c r="C7" s="26" t="n">
        <f aca="false">-Annual!B45</f>
        <v>-0</v>
      </c>
      <c r="D7" s="26" t="n">
        <f aca="false">-Annual!C45</f>
        <v>-0</v>
      </c>
      <c r="E7" s="26" t="n">
        <f aca="false">-Annual!D45</f>
        <v>-0</v>
      </c>
      <c r="F7" s="26" t="n">
        <f aca="false">-Annual!E45</f>
        <v>-4056.60256553634</v>
      </c>
      <c r="G7" s="26" t="n">
        <f aca="false">-Annual!F45</f>
        <v>-6509.00706520407</v>
      </c>
    </row>
    <row r="8" customFormat="false" ht="15" hidden="false" customHeight="false" outlineLevel="0" collapsed="false">
      <c r="A8" s="9" t="s">
        <v>337</v>
      </c>
      <c r="B8" s="26" t="n">
        <v>0</v>
      </c>
      <c r="C8" s="26" t="n">
        <f aca="false">-((Annual!B61+Annual!B62)-(0))</f>
        <v>-2465.88888888889</v>
      </c>
      <c r="D8" s="26" t="n">
        <f aca="false">-((Annual!C61+Annual!C62)-(Annual!B61+Annual!B62))</f>
        <v>-7731.55555555556</v>
      </c>
      <c r="E8" s="26" t="n">
        <f aca="false">-((Annual!D61+Annual!D62)-(Annual!C61+Annual!C62))</f>
        <v>-2659.17991111109</v>
      </c>
      <c r="F8" s="26" t="n">
        <f aca="false">-((Annual!E61+Annual!E62)-(Annual!D61+Annual!D62))</f>
        <v>-1542.79492266667</v>
      </c>
      <c r="G8" s="26" t="n">
        <f aca="false">-((Annual!F61+Annual!F62)-(Annual!E61+Annual!E62))</f>
        <v>-1727.93031338666</v>
      </c>
    </row>
    <row r="9" customFormat="false" ht="15" hidden="false" customHeight="false" outlineLevel="0" collapsed="false">
      <c r="A9" s="9" t="s">
        <v>338</v>
      </c>
      <c r="B9" s="26" t="n">
        <v>0</v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f aca="false">Annual!F65+Annual!F61+Annual!F62</f>
        <v>134234.016258276</v>
      </c>
    </row>
    <row r="10" customFormat="false" ht="15" hidden="false" customHeight="false" outlineLevel="0" collapsed="false">
      <c r="A10" s="3" t="s">
        <v>250</v>
      </c>
      <c r="B10" s="14" t="n">
        <f aca="false">SUM(B5:B9)</f>
        <v>-213000</v>
      </c>
      <c r="C10" s="14" t="n">
        <f aca="false">SUM(C5:C9)</f>
        <v>-80225.3333333333</v>
      </c>
      <c r="D10" s="14" t="n">
        <f aca="false">SUM(D5:D9)</f>
        <v>-32421.52</v>
      </c>
      <c r="E10" s="14" t="n">
        <f aca="false">SUM(E5:E9)</f>
        <v>76001.8485333334</v>
      </c>
      <c r="F10" s="14" t="n">
        <f aca="false">SUM(F5:F9)</f>
        <v>87710.7103304637</v>
      </c>
      <c r="G10" s="14" t="n">
        <f aca="false">SUM(G5:G9)</f>
        <v>230504.399636592</v>
      </c>
    </row>
    <row r="11" customFormat="false" ht="15" hidden="false" customHeight="false" outlineLevel="0" collapsed="false">
      <c r="A11" s="9" t="s">
        <v>339</v>
      </c>
      <c r="B11" s="26" t="n">
        <f aca="false">B10</f>
        <v>-213000</v>
      </c>
      <c r="C11" s="26" t="n">
        <f aca="false">B11+C10</f>
        <v>-293225.333333333</v>
      </c>
      <c r="D11" s="26" t="n">
        <f aca="false">C11+D10</f>
        <v>-325646.853333333</v>
      </c>
      <c r="E11" s="26" t="n">
        <f aca="false">D11+E10</f>
        <v>-249645.0048</v>
      </c>
      <c r="F11" s="26" t="n">
        <f aca="false">E11+F10</f>
        <v>-161934.294469536</v>
      </c>
      <c r="G11" s="26" t="n">
        <f aca="false">F11+G10</f>
        <v>68570.1051670553</v>
      </c>
    </row>
    <row r="13" customFormat="false" ht="15" hidden="false" customHeight="false" outlineLevel="0" collapsed="false">
      <c r="A13" s="3" t="s">
        <v>340</v>
      </c>
    </row>
    <row r="14" customFormat="false" ht="15" hidden="false" customHeight="false" outlineLevel="0" collapsed="false">
      <c r="A14" s="9" t="s">
        <v>341</v>
      </c>
      <c r="B14" s="26" t="n">
        <f aca="false">-(Assumptions!$F$76+Assumptions!$F$77-Assumptions!$F$80+Assumptions!$F$9*(Assumptions!$F$78+Assumptions!$F$79))</f>
        <v>-213000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</row>
    <row r="15" customFormat="false" ht="15" hidden="false" customHeight="false" outlineLevel="0" collapsed="false">
      <c r="A15" s="9" t="s">
        <v>342</v>
      </c>
      <c r="B15" s="26" t="n">
        <v>0</v>
      </c>
      <c r="C15" s="26" t="n">
        <f aca="false">C6+Annual!B32+C7+C8</f>
        <v>-80225.3333333333</v>
      </c>
      <c r="D15" s="26" t="n">
        <f aca="false">D6+Annual!C32+D7+D8</f>
        <v>-32421.52</v>
      </c>
      <c r="E15" s="26" t="n">
        <f aca="false">E6+Annual!D32+E7+E8</f>
        <v>76001.8485333334</v>
      </c>
      <c r="F15" s="26" t="n">
        <f aca="false">F6+Annual!E32+F7+F8</f>
        <v>87710.7103304637</v>
      </c>
      <c r="G15" s="26" t="n">
        <f aca="false">G6+Annual!F32+G7+G8</f>
        <v>96270.3833783161</v>
      </c>
    </row>
    <row r="16" customFormat="false" ht="15" hidden="false" customHeight="false" outlineLevel="0" collapsed="false">
      <c r="A16" s="9" t="s">
        <v>343</v>
      </c>
      <c r="B16" s="26" t="n">
        <v>0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f aca="false">G9</f>
        <v>134234.016258276</v>
      </c>
    </row>
    <row r="17" customFormat="false" ht="15" hidden="false" customHeight="false" outlineLevel="0" collapsed="false">
      <c r="A17" s="3" t="s">
        <v>250</v>
      </c>
      <c r="B17" s="14" t="n">
        <f aca="false">SUM(B14:B16)</f>
        <v>-213000</v>
      </c>
      <c r="C17" s="14" t="n">
        <f aca="false">SUM(C14:C16)</f>
        <v>-80225.3333333333</v>
      </c>
      <c r="D17" s="14" t="n">
        <f aca="false">SUM(D14:D16)</f>
        <v>-32421.52</v>
      </c>
      <c r="E17" s="14" t="n">
        <f aca="false">SUM(E14:E16)</f>
        <v>76001.8485333334</v>
      </c>
      <c r="F17" s="14" t="n">
        <f aca="false">SUM(F14:F16)</f>
        <v>87710.7103304637</v>
      </c>
      <c r="G17" s="14" t="n">
        <f aca="false">SUM(G14:G16)</f>
        <v>230504.399636592</v>
      </c>
    </row>
    <row r="18" customFormat="false" ht="15" hidden="false" customHeight="false" outlineLevel="0" collapsed="false">
      <c r="A18" s="9" t="s">
        <v>339</v>
      </c>
      <c r="B18" s="26" t="n">
        <f aca="false">B17</f>
        <v>-213000</v>
      </c>
      <c r="C18" s="26" t="n">
        <f aca="false">B18+C17</f>
        <v>-293225.333333333</v>
      </c>
      <c r="D18" s="26" t="n">
        <f aca="false">C18+D17</f>
        <v>-325646.853333333</v>
      </c>
      <c r="E18" s="26" t="n">
        <f aca="false">D18+E17</f>
        <v>-249645.0048</v>
      </c>
      <c r="F18" s="26" t="n">
        <f aca="false">E18+F17</f>
        <v>-161934.294469536</v>
      </c>
      <c r="G18" s="26" t="n">
        <f aca="false">F18+G17</f>
        <v>68570.1051670553</v>
      </c>
    </row>
    <row r="20" customFormat="false" ht="15" hidden="false" customHeight="false" outlineLevel="0" collapsed="false">
      <c r="A20" s="3" t="s">
        <v>344</v>
      </c>
    </row>
    <row r="21" customFormat="false" ht="15" hidden="false" customHeight="false" outlineLevel="0" collapsed="false">
      <c r="A21" s="9" t="s">
        <v>345</v>
      </c>
      <c r="B21" s="16" t="n">
        <f aca="false">Assumptions!$F$94</f>
        <v>0.25</v>
      </c>
    </row>
    <row r="22" customFormat="false" ht="15" hidden="false" customHeight="false" outlineLevel="0" collapsed="false">
      <c r="A22" s="9" t="s">
        <v>346</v>
      </c>
      <c r="B22" s="14" t="n">
        <f aca="false">B10+NPV(Assumptions!$F$94,C10:G10)</f>
        <v>-147559.104393324</v>
      </c>
    </row>
    <row r="23" customFormat="false" ht="15" hidden="false" customHeight="false" outlineLevel="0" collapsed="false">
      <c r="A23" s="9" t="s">
        <v>347</v>
      </c>
      <c r="B23" s="16" t="n">
        <f aca="false">IFERROR(IRR(B10:G10),"not defined")</f>
        <v>0.0496710355578469</v>
      </c>
    </row>
    <row r="24" customFormat="false" ht="15" hidden="false" customHeight="false" outlineLevel="0" collapsed="false">
      <c r="A24" s="9" t="s">
        <v>348</v>
      </c>
      <c r="B24" s="17" t="n">
        <f aca="false">IF(G11&lt;0,"&gt; 5 years",COUNTIF(C11:G11,"&lt;0")+(-INDEX(B11:G11,1,COUNTIF(C11:G11,"&lt;0")+1))/INDEX(C10:G10,1,COUNTIF(C11:G11,"&lt;0")+1))</f>
        <v>4.70252149080381</v>
      </c>
    </row>
    <row r="25" customFormat="false" ht="15" hidden="false" customHeight="false" outlineLevel="0" collapsed="false">
      <c r="A25" s="9" t="s">
        <v>349</v>
      </c>
      <c r="B25" s="14" t="n">
        <f aca="false">B17+NPV(Assumptions!$F$94,C17:G17)</f>
        <v>-147559.104393324</v>
      </c>
    </row>
    <row r="26" customFormat="false" ht="15" hidden="false" customHeight="false" outlineLevel="0" collapsed="false">
      <c r="A26" s="9" t="s">
        <v>350</v>
      </c>
      <c r="B26" s="16" t="n">
        <f aca="false">IFERROR(IRR(B17:G17),"not defined")</f>
        <v>0.0496710355578469</v>
      </c>
    </row>
    <row r="27" customFormat="false" ht="15" hidden="false" customHeight="false" outlineLevel="0" collapsed="false">
      <c r="A27" s="9" t="s">
        <v>351</v>
      </c>
      <c r="B27" s="17" t="n">
        <f aca="false">IF(G18&lt;0,"&gt; 5 years",COUNTIF(C18:G18,"&lt;0")+(-INDEX(B18:G18,1,COUNTIF(C18:G18,"&lt;0")+1))/INDEX(C17:G17,1,COUNTIF(C18:G18,"&lt;0")+1))</f>
        <v>4.70252149080381</v>
      </c>
    </row>
    <row r="29" customFormat="false" ht="15" hidden="false" customHeight="false" outlineLevel="0" collapsed="false">
      <c r="A29" s="29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21" t="s">
        <v>353</v>
      </c>
    </row>
    <row r="3" customFormat="false" ht="15" hidden="false" customHeight="false" outlineLevel="0" collapsed="false">
      <c r="A3" s="9" t="s">
        <v>354</v>
      </c>
      <c r="B3" s="17" t="n">
        <f aca="false">Assumptions!$F$26</f>
        <v>5.12820512820513</v>
      </c>
    </row>
    <row r="4" customFormat="false" ht="15" hidden="false" customHeight="false" outlineLevel="0" collapsed="false">
      <c r="A4" s="9" t="s">
        <v>355</v>
      </c>
      <c r="B4" s="17" t="n">
        <f aca="false">B3*Assumptions!$F$31</f>
        <v>2.56410256410256</v>
      </c>
    </row>
    <row r="5" customFormat="false" ht="15" hidden="false" customHeight="false" outlineLevel="0" collapsed="false">
      <c r="A5" s="9" t="s">
        <v>356</v>
      </c>
      <c r="B5" s="17" t="n">
        <f aca="false">B3*Assumptions!$F$58+Assumptions!$F$57/(1-Assumptions!$F$23-Assumptions!$F$24)</f>
        <v>1.51923076923077</v>
      </c>
    </row>
    <row r="6" customFormat="false" ht="15" hidden="false" customHeight="false" outlineLevel="0" collapsed="false">
      <c r="A6" s="9" t="s">
        <v>357</v>
      </c>
      <c r="B6" s="17" t="n">
        <f aca="false">Assumptions!$F$56/Assumptions!$F$55+Assumptions!$F$59</f>
        <v>2</v>
      </c>
    </row>
    <row r="7" customFormat="false" ht="15" hidden="false" customHeight="false" outlineLevel="0" collapsed="false">
      <c r="A7" s="9" t="s">
        <v>358</v>
      </c>
      <c r="B7" s="17" t="n">
        <f aca="false">B4+B5+B6</f>
        <v>6.08333333333333</v>
      </c>
    </row>
    <row r="8" customFormat="false" ht="15" hidden="false" customHeight="false" outlineLevel="0" collapsed="false">
      <c r="A8" s="9" t="s">
        <v>359</v>
      </c>
      <c r="B8" s="17" t="n">
        <f aca="false">Assumptions!$F$36</f>
        <v>16</v>
      </c>
    </row>
    <row r="9" customFormat="false" ht="15" hidden="false" customHeight="false" outlineLevel="0" collapsed="false">
      <c r="A9" s="9" t="s">
        <v>360</v>
      </c>
      <c r="B9" s="17" t="n">
        <f aca="false">B8-B7</f>
        <v>9.91666666666667</v>
      </c>
    </row>
    <row r="10" customFormat="false" ht="15" hidden="false" customHeight="false" outlineLevel="0" collapsed="false">
      <c r="A10" s="9" t="s">
        <v>361</v>
      </c>
      <c r="B10" s="16" t="n">
        <f aca="false">IF(B8=0,0,B9/B8)</f>
        <v>0.619791666666667</v>
      </c>
    </row>
    <row r="11" customFormat="false" ht="15" hidden="false" customHeight="false" outlineLevel="0" collapsed="false">
      <c r="A11" s="9" t="s">
        <v>362</v>
      </c>
      <c r="B11" s="14" t="n">
        <f aca="false">Annual!D26/(1+Assumptions!$F$41)^2</f>
        <v>158180</v>
      </c>
    </row>
    <row r="12" customFormat="false" ht="15" hidden="false" customHeight="false" outlineLevel="0" collapsed="false">
      <c r="A12" s="9" t="s">
        <v>363</v>
      </c>
      <c r="B12" s="14" t="n">
        <f aca="false">Annual!D28</f>
        <v>24680</v>
      </c>
    </row>
    <row r="13" customFormat="false" ht="15" hidden="false" customHeight="false" outlineLevel="0" collapsed="false">
      <c r="A13" s="9" t="s">
        <v>364</v>
      </c>
      <c r="B13" s="14" t="n">
        <f aca="false">Annual!D30</f>
        <v>13415.002789081</v>
      </c>
    </row>
    <row r="14" customFormat="false" ht="15" hidden="false" customHeight="false" outlineLevel="0" collapsed="false">
      <c r="A14" s="9" t="s">
        <v>365</v>
      </c>
      <c r="B14" s="19" t="n">
        <f aca="false">IF(B9&lt;=0,"no break-even",(B11+B12+B13)/B9/1000)</f>
        <v>19.7924372560418</v>
      </c>
    </row>
    <row r="15" customFormat="false" ht="15" hidden="false" customHeight="false" outlineLevel="0" collapsed="false">
      <c r="A15" s="9" t="s">
        <v>366</v>
      </c>
      <c r="B15" s="14" t="n">
        <f aca="false">IF(ISNUMBER(B14),B14*1000*B8,"n/a")</f>
        <v>316678.996096669</v>
      </c>
    </row>
    <row r="16" customFormat="false" ht="15" hidden="false" customHeight="false" outlineLevel="0" collapsed="false">
      <c r="A16" s="9" t="s">
        <v>367</v>
      </c>
      <c r="B16" s="19" t="n">
        <f aca="false">Annual!D90/1000</f>
        <v>20.9596666666667</v>
      </c>
    </row>
    <row r="17" customFormat="false" ht="15" hidden="false" customHeight="false" outlineLevel="0" collapsed="false">
      <c r="A17" s="9" t="s">
        <v>368</v>
      </c>
      <c r="B17" s="19" t="n">
        <f aca="false">Annual!D89/1000</f>
        <v>20.852</v>
      </c>
    </row>
    <row r="18" customFormat="false" ht="15" hidden="false" customHeight="false" outlineLevel="0" collapsed="false">
      <c r="A18" s="9" t="s">
        <v>369</v>
      </c>
      <c r="B18" s="17" t="n">
        <f aca="false">B7+(B11+B12+B13)/(B16*1000)</f>
        <v>15.44774765874</v>
      </c>
    </row>
    <row r="19" customFormat="false" ht="15" hidden="false" customHeight="false" outlineLevel="0" collapsed="false">
      <c r="A19" s="9" t="s">
        <v>370</v>
      </c>
      <c r="B19" s="16" t="n">
        <f aca="false">IF(ISNUMBER(B14),(B16-B14)/B16,"n/a")</f>
        <v>0.0556893117237021</v>
      </c>
    </row>
    <row r="20" customFormat="false" ht="15" hidden="false" customHeight="false" outlineLevel="0" collapsed="false">
      <c r="A20" s="9" t="s">
        <v>371</v>
      </c>
      <c r="B20" s="14" t="n">
        <f aca="false">(Annual!D27+Annual!D18)/((Assumptions!$F$61+Assumptions!$F$9*Assumptions!$F$62)*12*24+Annual!D37/Assumptions!$F$63*24)</f>
        <v>349.533927692579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2026-10-23T06:51:17Z</dcterms:created>
  <dc:creator>openpyxl</dc:creator>
  <dc:description/>
  <dc:language>en-US</dc:language>
  <cp:lastModifiedBy/>
  <dcterms:modified xsi:type="dcterms:W3CDTF">2026-10-23T06:51:17Z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