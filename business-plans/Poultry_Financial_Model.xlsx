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iginal_Data" sheetId="1" state="visible" r:id="rId3"/>
    <sheet name="Assumptions" sheetId="2" state="visible" r:id="rId4"/>
    <sheet name="Monthly" sheetId="3" state="visible" r:id="rId5"/>
    <sheet name="Annual" sheetId="4" state="visible" r:id="rId6"/>
    <sheet name="Returns" sheetId="5" state="visible" r:id="rId7"/>
    <sheet name="Unit_BreakEve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<sst xmlns="http://schemas.openxmlformats.org/spreadsheetml/2006/main" count="423" uniqueCount="308">
  <si>
    <t xml:space="preserve">ORIGINAL PROPOSAL BASELINE - reproduced exactly as written (spelling preserved); not modified by the model</t>
  </si>
  <si>
    <t xml:space="preserve">Source: 'BENEFIT REALISE Project HwU Cluster Work plan on Integrated Strategies for Resilience', Section 5 Budgeting.</t>
  </si>
  <si>
    <t xml:space="preserve">Activites (original wording)</t>
  </si>
  <si>
    <t xml:space="preserve">Planned budget in Birr</t>
  </si>
  <si>
    <t xml:space="preserve">Share of total</t>
  </si>
  <si>
    <t xml:space="preserve">Analyst note</t>
  </si>
  <si>
    <t xml:space="preserve">Procurument of industial inpout for Poultery house construction/renovation</t>
  </si>
  <si>
    <t xml:space="preserve">Partial support; woreda builds the house (cost-sharing).</t>
  </si>
  <si>
    <t xml:space="preserve">Purchase of poultery feed/</t>
  </si>
  <si>
    <t xml:space="preserve">Text: feed 'only for one month' supplied by project.</t>
  </si>
  <si>
    <t xml:space="preserve">Purchase of vaccsine / medicine</t>
  </si>
  <si>
    <t xml:space="preserve">Purchase of equipments /brooder box, watering, feeder , saw dust etc</t>
  </si>
  <si>
    <t xml:space="preserve">Provision of trainings ( Group formation, book keeping, Poltery production management</t>
  </si>
  <si>
    <t xml:space="preserve">Project cost - not an enterprise asset.</t>
  </si>
  <si>
    <t xml:space="preserve">Conducting of exchange visites</t>
  </si>
  <si>
    <t xml:space="preserve">Purchased of day old chikens</t>
  </si>
  <si>
    <t xml:space="preserve">Number of chicks not stated.</t>
  </si>
  <si>
    <t xml:space="preserve">Monitoring and Evaluation</t>
  </si>
  <si>
    <t xml:space="preserve">Project cost; 22.7% of total - high for a pilot of this size.</t>
  </si>
  <si>
    <t xml:space="preserve">Total</t>
  </si>
  <si>
    <t xml:space="preserve">Stated total as written in source.</t>
  </si>
  <si>
    <t xml:space="preserve">Recalculated sum of line items (analytical check)</t>
  </si>
  <si>
    <t xml:space="preserve">Difference stated total vs sum (0 = reconciles)</t>
  </si>
  <si>
    <t xml:space="preserve">Analytical groupings (not in source)</t>
  </si>
  <si>
    <t xml:space="preserve">Direct production inputs and assets (house inputs, feed, vaccine, equipment, DOC)</t>
  </si>
  <si>
    <t xml:space="preserve">Capacity building and learning (training, exchange visits, M&amp;E)</t>
  </si>
  <si>
    <t xml:space="preserve">Per enterprise, if direct inputs split equally between 2 groups (assumption)</t>
  </si>
  <si>
    <t xml:space="preserve">Other original facts used: 2 enterprises; 10 young female members each; 2 kebeles in 2 woredas; rearing period about two months; house by woreda; project supplies DOC, brooder boxes, feeders and feed for one month; project period 2018-2020; schedule Sep.-Aug. (year not stated).</t>
  </si>
  <si>
    <t xml:space="preserve">Youth Pullet-Rearing Enterprise (one group of 10) - Assumptions (all values in ETB unless stated)</t>
  </si>
  <si>
    <t xml:space="preserve">Illustrative re-costing at October 2026 prices for ONE of the two proposed youth enterprises. Blue = input; black = formula. Original proposal figures are preserved separately on the 'Original_Data' sheet and are NOT overwritten here. Values marked VERIFY are planning assumptions that must be replaced by local quotations.</t>
  </si>
  <si>
    <t xml:space="preserve">Active scenario (1 = Base, 2 = Downside, 3 = Upside)</t>
  </si>
  <si>
    <t xml:space="preserve">How to use: change the yellow scenario cell (C3) or any blue input; every statement recalculates. Replace VERIFY values with local quotations.</t>
  </si>
  <si>
    <t xml:space="preserve">Assumption</t>
  </si>
  <si>
    <t xml:space="preserve">Unit</t>
  </si>
  <si>
    <t xml:space="preserve">Base</t>
  </si>
  <si>
    <t xml:space="preserve">Downside</t>
  </si>
  <si>
    <t xml:space="preserve">Upside</t>
  </si>
  <si>
    <t xml:space="preserve">Active</t>
  </si>
  <si>
    <t xml:space="preserve">Status / source / note</t>
  </si>
  <si>
    <t xml:space="preserve">1. Timing (model month 1 = 'Sep.' column of the original activity schedule; year not stated in source)</t>
  </si>
  <si>
    <t xml:space="preserve">Month poultry house and equipment are ready</t>
  </si>
  <si>
    <t xml:space="preserve">month</t>
  </si>
  <si>
    <t xml:space="preserve">Assumption. Original Gantt cells are blank; sequence (selection &gt; site &gt; construction &gt; training &gt; inputs) implies construction precedes DOC.</t>
  </si>
  <si>
    <t xml:space="preserve">Month of first day-old-chick (DOC) placement</t>
  </si>
  <si>
    <t xml:space="preserve">Assumption (original: 'Availing day old chicken' listed after construction/training; timing blank).</t>
  </si>
  <si>
    <t xml:space="preserve">Months between batch placements</t>
  </si>
  <si>
    <t xml:space="preserve">months</t>
  </si>
  <si>
    <t xml:space="preserve">Assumption: ~2 months rearing (original: 'about two months') + ~1 month sale, cleaning, rest. Base = 4 batches/yr.</t>
  </si>
  <si>
    <t xml:space="preserve">Month member equity is paid in</t>
  </si>
  <si>
    <t xml:space="preserve">Assumption.</t>
  </si>
  <si>
    <t xml:space="preserve">2. Production</t>
  </si>
  <si>
    <t xml:space="preserve">DOC placed per batch</t>
  </si>
  <si>
    <t xml:space="preserve">birds</t>
  </si>
  <si>
    <t xml:space="preserve">ILLUSTRATIVE planning scale - the original proposal does not state chick numbers. ~25-30 m2 brooding/rearing floor at 15-20 birds/m2 to 8 weeks. VERIFY</t>
  </si>
  <si>
    <t xml:space="preserve">Mortality to sale (~8 weeks)</t>
  </si>
  <si>
    <t xml:space="preserve">% of placed</t>
  </si>
  <si>
    <t xml:space="preserve">Assumption. On-farm Koekoek trial in South Omo reported 73.1% survival to 45 days (farmer management); managed brooding should do better. VERIFY</t>
  </si>
  <si>
    <t xml:space="preserve">Feed per bird placed, 0-8 weeks (incl. wastage)</t>
  </si>
  <si>
    <t xml:space="preserve">kg</t>
  </si>
  <si>
    <t xml:space="preserve">Assumption from typical layer/dual-purpose pullet growth curves; confirm with breed guide (Lohmann Brown / Koekoek) and supplier. VERIFY</t>
  </si>
  <si>
    <t xml:space="preserve">Share of batch feed used in placement month</t>
  </si>
  <si>
    <t xml:space="preserve">%</t>
  </si>
  <si>
    <t xml:space="preserve">Assumption (intake rises with age).</t>
  </si>
  <si>
    <t xml:space="preserve">3. Prices and variable costs (PY1 prices; escalated annually)</t>
  </si>
  <si>
    <t xml:space="preserve">Day-old chick price</t>
  </si>
  <si>
    <t xml:space="preserve">ETB/chick</t>
  </si>
  <si>
    <t xml:space="preserve">Assumption. Published 2025-26 figures conflict (ETB 5-22 to 75); pre-2022 press reported ~ETB 50. Obtain quotes from DZARC (EIAR) and private hatcheries. VERIFY</t>
  </si>
  <si>
    <t xml:space="preserve">Starter/grower feed price</t>
  </si>
  <si>
    <t xml:space="preserve">ETB/kg</t>
  </si>
  <si>
    <t xml:space="preserve">Assumption. 2022 field data: layer feed mean ETB 2,695/qt (26.95/kg); 2026 vendor web page: ETB 8,800/qt (unverified). Birr has depreciated sharply since July 2024. VERIFY</t>
  </si>
  <si>
    <t xml:space="preserve">Vaccines and medication</t>
  </si>
  <si>
    <t xml:space="preserve">ETB/bird placed</t>
  </si>
  <si>
    <t xml:space="preserve">Assumption (NVI vaccines: Marek's at hatchery, NCD, Gumboro, fowl pox). VERIFY</t>
  </si>
  <si>
    <t xml:space="preserve">Brooding energy (electricity/backup)</t>
  </si>
  <si>
    <t xml:space="preserve">ETB/batch</t>
  </si>
  <si>
    <t xml:space="preserve">Assumption. VERIFY</t>
  </si>
  <si>
    <t xml:space="preserve">Litter (sawdust) and disinfectant</t>
  </si>
  <si>
    <t xml:space="preserve">Assumption (original budget line mentions saw dust). VERIFY</t>
  </si>
  <si>
    <t xml:space="preserve">Selling and transport</t>
  </si>
  <si>
    <t xml:space="preserve">Selling price of ~8-week pullet</t>
  </si>
  <si>
    <t xml:space="preserve">ETB/bird</t>
  </si>
  <si>
    <t xml:space="preserve">Assumption. Only located 2026 data point: one online listing of a vaccinated 2-month Bovans Brown at ETB 710 (Addis, undated); 2020 report: ETB 100-120. Rural PSNP buyers' willingness to pay must be tested. VERIFY</t>
  </si>
  <si>
    <t xml:space="preserve">Share of sales collected in month of sale</t>
  </si>
  <si>
    <t xml:space="preserve">Assumption; remainder collected the following month (institutional/NGO buyers pay on invoice).</t>
  </si>
  <si>
    <t xml:space="preserve">Annual selling-price escalation</t>
  </si>
  <si>
    <t xml:space="preserve">%/yr</t>
  </si>
  <si>
    <t xml:space="preserve">Assumption. CPI inflation 15.3% (Jul 2026); NBE expects decline. Downside: prices lag costs.</t>
  </si>
  <si>
    <t xml:space="preserve">Annual cost escalation</t>
  </si>
  <si>
    <t xml:space="preserve">Assumption (see above).</t>
  </si>
  <si>
    <t xml:space="preserve">4. Fixed operating costs (PY1 prices)</t>
  </si>
  <si>
    <t xml:space="preserve">Cash allowance for members on duty</t>
  </si>
  <si>
    <t xml:space="preserve">ETB/month</t>
  </si>
  <si>
    <t xml:space="preserve">Assumption: 3 members on rotating duty x ETB 3,000/month. Remaining members are unpaid owners (see memo).</t>
  </si>
  <si>
    <t xml:space="preserve">Imputed value of unpaid member time (memo only)</t>
  </si>
  <si>
    <t xml:space="preserve">Assumption: 7 members x 4 days/month x ETB 250/day. Not a cash cost; shown to reveal economic return to labour. VERIFY</t>
  </si>
  <si>
    <t xml:space="preserve">Water</t>
  </si>
  <si>
    <t xml:space="preserve">Bookkeeping, phone, stationery, bank charges</t>
  </si>
  <si>
    <t xml:space="preserve">Maintenance</t>
  </si>
  <si>
    <t xml:space="preserve">% of asset cost/yr</t>
  </si>
  <si>
    <t xml:space="preserve">Legal registration (one-off, month 2)</t>
  </si>
  <si>
    <t xml:space="preserve">ETB</t>
  </si>
  <si>
    <t xml:space="preserve">Assumption; group organised as cooperative/association via woreda cooperative office. VERIFY</t>
  </si>
  <si>
    <t xml:space="preserve">Annual licence/renewal and audit</t>
  </si>
  <si>
    <t xml:space="preserve">ETB/yr</t>
  </si>
  <si>
    <t xml:space="preserve">5. Investment and grant/in-kind contributions</t>
  </si>
  <si>
    <t xml:space="preserve">Poultry house - full value (woreda in-kind incl. project materials)</t>
  </si>
  <si>
    <t xml:space="preserve">Assumption for valuing the woreda contribution (~35 m2 simple house). Original: woreda builds house; project supplies corrugated iron and nails. VERIFY</t>
  </si>
  <si>
    <t xml:space="preserve">Equipment (brooders, feeders, drinkers, heaters, scale) at 2026 prices</t>
  </si>
  <si>
    <t xml:space="preserve">Project grant: equipment (original ETB 30,000 / 2 groups)</t>
  </si>
  <si>
    <t xml:space="preserve">ORIGINAL budget line split equally between the two enterprises - the equal split is an analytical assumption.</t>
  </si>
  <si>
    <t xml:space="preserve">Project grant: first-batch inputs (DOC 16,000 + feed 35,000 + vaccine 6,000)</t>
  </si>
  <si>
    <t xml:space="preserve">ORIGINAL budget lines (32,000; 70,000; 12,000) split equally. Original: feed 'only for one month'.</t>
  </si>
  <si>
    <t xml:space="preserve">Useful life - house</t>
  </si>
  <si>
    <t xml:space="preserve">years</t>
  </si>
  <si>
    <t xml:space="preserve">Useful life - equipment</t>
  </si>
  <si>
    <t xml:space="preserve">6. Financing, tax and appraisal</t>
  </si>
  <si>
    <t xml:space="preserve">Minimum cash buffer to maintain</t>
  </si>
  <si>
    <t xml:space="preserve">Assumption; any shortfall below this is shown as additional funding required.</t>
  </si>
  <si>
    <t xml:space="preserve">Member cash equity (10 members x ETB 2,000)</t>
  </si>
  <si>
    <t xml:space="preserve">Working-capital loan disbursement month</t>
  </si>
  <si>
    <t xml:space="preserve">Working-capital loan</t>
  </si>
  <si>
    <t xml:space="preserve">Assumption (MFI / youth revolving fund). Original proposal: 'facilitate linkage with credit sources' - no loan secured.</t>
  </si>
  <si>
    <t xml:space="preserve">Loan interest rate</t>
  </si>
  <si>
    <t xml:space="preserve">Assumption. NBE policy rate raised to 16% (13 Jul 2026) and credit-growth cap removed; MFI rates typically higher. VERIFY</t>
  </si>
  <si>
    <t xml:space="preserve">Grace period (interest only)</t>
  </si>
  <si>
    <t xml:space="preserve">Repayment period after grace</t>
  </si>
  <si>
    <t xml:space="preserve">Monthly instalment (computed)</t>
  </si>
  <si>
    <t xml:space="preserve">Formula.</t>
  </si>
  <si>
    <t xml:space="preserve">Business income tax provision on profit</t>
  </si>
  <si>
    <t xml:space="preserve">% of PBT</t>
  </si>
  <si>
    <t xml:space="preserve">PLACEHOLDER. Income Tax (Amendment) Proc. 1395/2025 abolished Category C; cooperative/MSE incentives may apply. Confirm with Sidama/regional revenue bureau. VERIFY</t>
  </si>
  <si>
    <t xml:space="preserve">Discount rate (nominal)</t>
  </si>
  <si>
    <t xml:space="preserve">Rationale: NBE policy rate 16% + CPI ~15% =&gt; bank lending ~18-22%; plus premium for a start-up, perishable-livestock enterprise.</t>
  </si>
  <si>
    <t xml:space="preserve">Youth Pullet-Rearing Enterprise (one group of 10) - Monthly engine (60 months). Month 1 = first month of the original Sep.-Aug. schedule; year not stated in source.</t>
  </si>
  <si>
    <t xml:space="preserve">Model month no.</t>
  </si>
  <si>
    <t xml:space="preserve">Project year (PY)</t>
  </si>
  <si>
    <t xml:space="preserve">Calendar month label (year to be confirmed)</t>
  </si>
  <si>
    <t xml:space="preserve">Sep</t>
  </si>
  <si>
    <t xml:space="preserve">Oct</t>
  </si>
  <si>
    <t xml:space="preserve">Nov</t>
  </si>
  <si>
    <t xml:space="preserve">Dec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</si>
  <si>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</si>
  <si>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</si>
  <si>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</si>
  <si>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</si>
  <si>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</si>
  <si>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</si>
  <si>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</si>
  <si>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</si>
  <si>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ESCALATION</t>
  </si>
  <si>
    <t xml:space="preserve">Price index</t>
  </si>
  <si>
    <t xml:space="preserve">Cost index</t>
  </si>
  <si>
    <t xml:space="preserve">PRODUCTION</t>
  </si>
  <si>
    <t xml:space="preserve">Batch placed this month (1 = yes)</t>
  </si>
  <si>
    <t xml:space="preserve">Day-old chicks placed</t>
  </si>
  <si>
    <t xml:space="preserve">Pullets sold (placed last month x survival)</t>
  </si>
  <si>
    <t xml:space="preserve">REVENUE AND COLLECTIONS</t>
  </si>
  <si>
    <t xml:space="preserve">Pullet sales</t>
  </si>
  <si>
    <t xml:space="preserve">Cash collected</t>
  </si>
  <si>
    <t xml:space="preserve">Receivables (end of month)</t>
  </si>
  <si>
    <t xml:space="preserve">VARIABLE COSTS</t>
  </si>
  <si>
    <t xml:space="preserve">Day-old chicks</t>
  </si>
  <si>
    <t xml:space="preserve">Feed</t>
  </si>
  <si>
    <t xml:space="preserve">Brooding energy</t>
  </si>
  <si>
    <t xml:space="preserve">Litter and disinfectant</t>
  </si>
  <si>
    <t xml:space="preserve">Total variable costs</t>
  </si>
  <si>
    <t xml:space="preserve">Of which funded by project in-kind inputs (non-cash)</t>
  </si>
  <si>
    <t xml:space="preserve">Variable costs paid in cash</t>
  </si>
  <si>
    <t xml:space="preserve">FIXED COSTS</t>
  </si>
  <si>
    <t xml:space="preserve">Operating (1 = from month before first placement)</t>
  </si>
  <si>
    <t xml:space="preserve">Member duty allowances</t>
  </si>
  <si>
    <t xml:space="preserve">Administration</t>
  </si>
  <si>
    <t xml:space="preserve">Registration and licences</t>
  </si>
  <si>
    <t xml:space="preserve">Total fixed costs</t>
  </si>
  <si>
    <t xml:space="preserve">Memo: imputed unpaid member labour</t>
  </si>
  <si>
    <t xml:space="preserve">EBITDA excluding grants</t>
  </si>
  <si>
    <t xml:space="preserve">INVESTMENT</t>
  </si>
  <si>
    <t xml:space="preserve">Capital expenditure (full value)</t>
  </si>
  <si>
    <t xml:space="preserve">Of which in-kind / grant-funded</t>
  </si>
  <si>
    <t xml:space="preserve">Depreciation</t>
  </si>
  <si>
    <t xml:space="preserve">FINANCING</t>
  </si>
  <si>
    <t xml:space="preserve">Loan disbursement</t>
  </si>
  <si>
    <t xml:space="preserve">Loan opening balance</t>
  </si>
  <si>
    <t xml:space="preserve">Interest (reducing balance)</t>
  </si>
  <si>
    <t xml:space="preserve">Principal repayment</t>
  </si>
  <si>
    <t xml:space="preserve">Loan closing balance</t>
  </si>
  <si>
    <t xml:space="preserve">Member cash equity contributed</t>
  </si>
  <si>
    <t xml:space="preserve">PROFIT AND TAX</t>
  </si>
  <si>
    <t xml:space="preserve">Profit before tax (incl. grant income)</t>
  </si>
  <si>
    <t xml:space="preserve">Business income tax paid (prior PY, paid in month 1 of next PY)</t>
  </si>
  <si>
    <t xml:space="preserve">CASH FLOW</t>
  </si>
  <si>
    <t xml:space="preserve">Operating cash flow</t>
  </si>
  <si>
    <t xml:space="preserve">Investing cash flow (cash-funded capex)</t>
  </si>
  <si>
    <t xml:space="preserve">Financing cash flow</t>
  </si>
  <si>
    <t xml:space="preserve">Net cash flow</t>
  </si>
  <si>
    <t xml:space="preserve">Opening cash</t>
  </si>
  <si>
    <t xml:space="preserve">Additional funding required - source NOT identified (keeps cash at minimum buffer)</t>
  </si>
  <si>
    <t xml:space="preserve">Closing cash</t>
  </si>
  <si>
    <t xml:space="preserve">Cumulative additional funding required</t>
  </si>
  <si>
    <t xml:space="preserve">Cumulative capex (gross fixed assets)</t>
  </si>
  <si>
    <t xml:space="preserve">Accumulated depreciation</t>
  </si>
  <si>
    <t xml:space="preserve">Cumulative capital grants / in-kind assets</t>
  </si>
  <si>
    <t xml:space="preserve">Cumulative member equity</t>
  </si>
  <si>
    <t xml:space="preserve">Youth Pullet-Rearing Enterprise (one group of 10) - Annual statements, Project Years 1-5 (PY = 12 model months from the Sep. start)</t>
  </si>
  <si>
    <t xml:space="preserve">PY1</t>
  </si>
  <si>
    <t xml:space="preserve">PY2</t>
  </si>
  <si>
    <t xml:space="preserve">PY3</t>
  </si>
  <si>
    <t xml:space="preserve">PY4</t>
  </si>
  <si>
    <t xml:space="preserve">PY5</t>
  </si>
  <si>
    <t xml:space="preserve">Total PY1-5</t>
  </si>
  <si>
    <t xml:space="preserve">INCOME STATEMENT</t>
  </si>
  <si>
    <t xml:space="preserve">Total sales revenue</t>
  </si>
  <si>
    <t xml:space="preserve">Total variable (direct) costs</t>
  </si>
  <si>
    <t xml:space="preserve">Gross margin</t>
  </si>
  <si>
    <t xml:space="preserve">Gross margin %</t>
  </si>
  <si>
    <t xml:space="preserve">Total fixed operating costs</t>
  </si>
  <si>
    <t xml:space="preserve">Operating profit (EBIT) excluding grants</t>
  </si>
  <si>
    <t xml:space="preserve">Interest expense</t>
  </si>
  <si>
    <t xml:space="preserve">Profit before grants and tax</t>
  </si>
  <si>
    <t xml:space="preserve">Grant income - in-kind inputs (non-cash, non-recurring)</t>
  </si>
  <si>
    <t xml:space="preserve">Profit before tax</t>
  </si>
  <si>
    <t xml:space="preserve">Business income tax (placeholder rate; to verify)</t>
  </si>
  <si>
    <t xml:space="preserve">NET PROFIT</t>
  </si>
  <si>
    <t xml:space="preserve">Memo: net profit excluding grant income</t>
  </si>
  <si>
    <t xml:space="preserve">Memo: imputed value of unpaid member labour</t>
  </si>
  <si>
    <t xml:space="preserve">Memo: economic profit after imputing unpaid labour, excl. grants</t>
  </si>
  <si>
    <t xml:space="preserve">CASH FLOW STATEMENT (direct method)</t>
  </si>
  <si>
    <t xml:space="preserve">Cash collected from customers</t>
  </si>
  <si>
    <t xml:space="preserve">Cash paid: variable costs (net of in-kind grant inputs)</t>
  </si>
  <si>
    <t xml:space="preserve">Cash paid: fixed operating costs</t>
  </si>
  <si>
    <t xml:space="preserve">Interest paid</t>
  </si>
  <si>
    <t xml:space="preserve">Income tax paid</t>
  </si>
  <si>
    <t xml:space="preserve">Net cash from operations</t>
  </si>
  <si>
    <t xml:space="preserve">Net cash from investing (cash-funded capex)</t>
  </si>
  <si>
    <t xml:space="preserve">Member equity received</t>
  </si>
  <si>
    <t xml:space="preserve">Loan disbursed</t>
  </si>
  <si>
    <t xml:space="preserve">Loan principal repaid</t>
  </si>
  <si>
    <t xml:space="preserve">Additional funding required (source not identified)</t>
  </si>
  <si>
    <t xml:space="preserve">Net cash from financing</t>
  </si>
  <si>
    <t xml:space="preserve">Net change in cash</t>
  </si>
  <si>
    <t xml:space="preserve">Closing cash balance</t>
  </si>
  <si>
    <t xml:space="preserve">Opening cash balance</t>
  </si>
  <si>
    <t xml:space="preserve">Check: opening + net change - closing (should be 0)</t>
  </si>
  <si>
    <t xml:space="preserve">Lowest month-end cash in the year</t>
  </si>
  <si>
    <t xml:space="preserve">BALANCE SHEET (end of project year)</t>
  </si>
  <si>
    <t xml:space="preserve">Cash</t>
  </si>
  <si>
    <t xml:space="preserve">Trade receivables</t>
  </si>
  <si>
    <t xml:space="preserve">Fixed assets at cost (incl. in-kind)</t>
  </si>
  <si>
    <t xml:space="preserve">Less accumulated depreciation</t>
  </si>
  <si>
    <t xml:space="preserve">Net fixed assets</t>
  </si>
  <si>
    <t xml:space="preserve">TOTAL ASSETS</t>
  </si>
  <si>
    <t xml:space="preserve">Loan outstanding</t>
  </si>
  <si>
    <t xml:space="preserve">Income tax payable</t>
  </si>
  <si>
    <t xml:space="preserve">Total liabilities</t>
  </si>
  <si>
    <t xml:space="preserve">Member paid-in capital</t>
  </si>
  <si>
    <t xml:space="preserve">Contributed capital (capital grants and in-kind assets)</t>
  </si>
  <si>
    <t xml:space="preserve">Additional funding required, cumulative (source not identified)</t>
  </si>
  <si>
    <t xml:space="preserve">Retained earnings (no distributions assumed)</t>
  </si>
  <si>
    <t xml:space="preserve">Total equity</t>
  </si>
  <si>
    <t xml:space="preserve">TOTAL LIABILITIES AND EQUITY</t>
  </si>
  <si>
    <t xml:space="preserve">Balance check: assets - (liabilities + equity) (should be 0)</t>
  </si>
  <si>
    <t xml:space="preserve">KEY RATIOS</t>
  </si>
  <si>
    <t xml:space="preserve">Debt service (interest + principal)</t>
  </si>
  <si>
    <t xml:space="preserve">Debt-service coverage ratio = (EBITDA excl. grants - tax paid) / debt service</t>
  </si>
  <si>
    <t xml:space="preserve">Net margin excl. grants (% of sales)</t>
  </si>
  <si>
    <t xml:space="preserve">Operating statistics</t>
  </si>
  <si>
    <t xml:space="preserve">Pullets sold</t>
  </si>
  <si>
    <t xml:space="preserve">Batches placed</t>
  </si>
  <si>
    <t xml:space="preserve">Youth Pullet-Rearing Enterprise (one group of 10) - Investment appraisal (nominal ETB). Viability test of a single youth enterprise.</t>
  </si>
  <si>
    <t xml:space="preserve">PY0 (investment)</t>
  </si>
  <si>
    <t xml:space="preserve">A. Full economic view - all investment counted, including grant-funded and in-kind assets; grant income excluded</t>
  </si>
  <si>
    <t xml:space="preserve">Investment (all fixed assets at full value)</t>
  </si>
  <si>
    <t xml:space="preserve">Less tax paid</t>
  </si>
  <si>
    <t xml:space="preserve">Less increase in working capital (receivables/inventory)</t>
  </si>
  <si>
    <t xml:space="preserve">Residual value: net book value of fixed assets + working capital at end PY5 (conservative)</t>
  </si>
  <si>
    <t xml:space="preserve">Cumulative net cash flow</t>
  </si>
  <si>
    <t xml:space="preserve">B. Enterprise view - grant-funded and in-kind assets and inputs treated as free to the enterprise</t>
  </si>
  <si>
    <t xml:space="preserve">Investment funded by the enterprise (cash capex)</t>
  </si>
  <si>
    <t xml:space="preserve">EBITDA excl. grants + in-kind grant inputs - tax - change in working capital</t>
  </si>
  <si>
    <t xml:space="preserve">Residual value (as above)</t>
  </si>
  <si>
    <t xml:space="preserve">Results</t>
  </si>
  <si>
    <t xml:space="preserve">Discount rate (nominal ETB; see Assumptions note)</t>
  </si>
  <si>
    <t xml:space="preserve">A. NPV at discount rate</t>
  </si>
  <si>
    <t xml:space="preserve">A. IRR</t>
  </si>
  <si>
    <t xml:space="preserve">A. Payback (years from PY0)</t>
  </si>
  <si>
    <t xml:space="preserve">B. NPV at discount rate</t>
  </si>
  <si>
    <t xml:space="preserve">B. IRR</t>
  </si>
  <si>
    <t xml:space="preserve">B. Payback (years from PY0)</t>
  </si>
  <si>
    <t xml:space="preserve">Notes: PY0 investment is placed at the start of PY1 for simplicity (actual capex occurs in model month 3-4). Residual value is book value, not market value. All flows are nominal ETB: prices and costs escalate annually at the separate price and cost escalation rates on the Assumptions sheet, consistent with a nominal discount rate.</t>
  </si>
  <si>
    <t xml:space="preserve">Unit economics and break-even (PY1 prices, active scenario)</t>
  </si>
  <si>
    <t xml:space="preserve">Variable cost per bird PLACED (DOC + feed + vaccine + per-batch costs / batch)</t>
  </si>
  <si>
    <t xml:space="preserve">Variable cost per pullet SOLD (divide by survival)</t>
  </si>
  <si>
    <t xml:space="preserve">Selling price per pullet</t>
  </si>
  <si>
    <t xml:space="preserve">Contribution per pullet sold</t>
  </si>
  <si>
    <t xml:space="preserve">Contribution margin %</t>
  </si>
  <si>
    <t xml:space="preserve">Of which feed per pullet sold</t>
  </si>
  <si>
    <t xml:space="preserve">Of which DOC per pullet sold</t>
  </si>
  <si>
    <t xml:space="preserve">Fixed cash costs, PY2 (deflated to PY1 prices)</t>
  </si>
  <si>
    <t xml:space="preserve">Depreciation, PY2</t>
  </si>
  <si>
    <t xml:space="preserve">Interest, PY2</t>
  </si>
  <si>
    <t xml:space="preserve">Accounting break-even: pullets sold per year</t>
  </si>
  <si>
    <t xml:space="preserve">Accounting break-even: revenue per year (PY1 prices)</t>
  </si>
  <si>
    <t xml:space="preserve">Accounting break-even: batches per year at planned batch size</t>
  </si>
  <si>
    <t xml:space="preserve">Cash break-even incl. loan principal (PY2): pullets per year</t>
  </si>
  <si>
    <t xml:space="preserve">Planned pullets sold per year at full operation (PY2)</t>
  </si>
  <si>
    <t xml:space="preserve">Margin of safety (planned vs accounting break-even)</t>
  </si>
  <si>
    <t xml:space="preserve">Break-even PRICE per pullet at planned PY2 volume (PY1 prices)</t>
  </si>
  <si>
    <t xml:space="preserve">Break-even SURVIVAL rate at planned price and placements (PY1 prices)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</si>
</sst>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;\(0.0%\);\-"/>
    <numFmt numFmtId="167" formatCode="0"/>
    <numFmt numFmtId="168" formatCode="#,##0.00;\(#,##0.0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C00000"/>
      <name val="Arial"/>
      <family val="0"/>
      <charset val="1"/>
    </font>
    <font>
      <i val="true"/>
      <sz val="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D3A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E3EFE5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EF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D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40000</v>
      </c>
      <c r="C5" s="6" t="n">
        <f aca="false">B5/$B$13</f>
        <v>0.133333333333333</v>
      </c>
      <c r="D5" s="4" t="s">
        <v>7</v>
      </c>
    </row>
    <row r="6" customFormat="false" ht="15" hidden="false" customHeight="false" outlineLevel="0" collapsed="false">
      <c r="A6" s="4" t="s">
        <v>8</v>
      </c>
      <c r="B6" s="5" t="n">
        <v>70000</v>
      </c>
      <c r="C6" s="6" t="n">
        <f aca="false">B6/$B$13</f>
        <v>0.233333333333333</v>
      </c>
      <c r="D6" s="4" t="s">
        <v>9</v>
      </c>
    </row>
    <row r="7" customFormat="false" ht="15" hidden="false" customHeight="false" outlineLevel="0" collapsed="false">
      <c r="A7" s="4" t="s">
        <v>10</v>
      </c>
      <c r="B7" s="5" t="n">
        <v>12000</v>
      </c>
      <c r="C7" s="6" t="n">
        <f aca="false">B7/$B$13</f>
        <v>0.04</v>
      </c>
      <c r="D7" s="4"/>
    </row>
    <row r="8" customFormat="false" ht="15" hidden="false" customHeight="false" outlineLevel="0" collapsed="false">
      <c r="A8" s="4" t="s">
        <v>11</v>
      </c>
      <c r="B8" s="5" t="n">
        <v>30000</v>
      </c>
      <c r="C8" s="6" t="n">
        <f aca="false">B8/$B$13</f>
        <v>0.1</v>
      </c>
      <c r="D8" s="4"/>
    </row>
    <row r="9" customFormat="false" ht="15" hidden="false" customHeight="false" outlineLevel="0" collapsed="false">
      <c r="A9" s="4" t="s">
        <v>12</v>
      </c>
      <c r="B9" s="5" t="n">
        <v>28000</v>
      </c>
      <c r="C9" s="6" t="n">
        <f aca="false">B9/$B$13</f>
        <v>0.0933333333333333</v>
      </c>
      <c r="D9" s="4" t="s">
        <v>13</v>
      </c>
    </row>
    <row r="10" customFormat="false" ht="15" hidden="false" customHeight="false" outlineLevel="0" collapsed="false">
      <c r="A10" s="4" t="s">
        <v>14</v>
      </c>
      <c r="B10" s="5" t="n">
        <v>20000</v>
      </c>
      <c r="C10" s="6" t="n">
        <f aca="false">B10/$B$13</f>
        <v>0.0666666666666667</v>
      </c>
      <c r="D10" s="4" t="s">
        <v>13</v>
      </c>
    </row>
    <row r="11" customFormat="false" ht="15" hidden="false" customHeight="false" outlineLevel="0" collapsed="false">
      <c r="A11" s="4" t="s">
        <v>15</v>
      </c>
      <c r="B11" s="5" t="n">
        <v>32000</v>
      </c>
      <c r="C11" s="6" t="n">
        <f aca="false">B11/$B$13</f>
        <v>0.106666666666667</v>
      </c>
      <c r="D11" s="4" t="s">
        <v>16</v>
      </c>
    </row>
    <row r="12" customFormat="false" ht="15" hidden="false" customHeight="false" outlineLevel="0" collapsed="false">
      <c r="A12" s="4" t="s">
        <v>17</v>
      </c>
      <c r="B12" s="5" t="n">
        <v>68000</v>
      </c>
      <c r="C12" s="6" t="n">
        <f aca="false">B12/$B$13</f>
        <v>0.226666666666667</v>
      </c>
      <c r="D12" s="4" t="s">
        <v>18</v>
      </c>
    </row>
    <row r="13" customFormat="false" ht="15" hidden="false" customHeight="false" outlineLevel="0" collapsed="false">
      <c r="A13" s="7" t="s">
        <v>19</v>
      </c>
      <c r="B13" s="8" t="n">
        <v>300000</v>
      </c>
      <c r="D13" s="9" t="s">
        <v>20</v>
      </c>
    </row>
    <row r="14" customFormat="false" ht="15" hidden="false" customHeight="false" outlineLevel="0" collapsed="false">
      <c r="A14" s="0" t="s">
        <v>21</v>
      </c>
      <c r="B14" s="10" t="n">
        <f aca="false">SUM(B5:B12)</f>
        <v>300000</v>
      </c>
    </row>
    <row r="15" customFormat="false" ht="15" hidden="false" customHeight="false" outlineLevel="0" collapsed="false">
      <c r="A15" s="0" t="s">
        <v>22</v>
      </c>
      <c r="B15" s="10" t="n">
        <f aca="false">B13-B14</f>
        <v>0</v>
      </c>
    </row>
    <row r="17" customFormat="false" ht="15" hidden="false" customHeight="false" outlineLevel="0" collapsed="false">
      <c r="A17" s="7" t="s">
        <v>23</v>
      </c>
    </row>
    <row r="18" customFormat="false" ht="15" hidden="false" customHeight="false" outlineLevel="0" collapsed="false">
      <c r="A18" s="4" t="s">
        <v>24</v>
      </c>
      <c r="B18" s="10" t="n">
        <f aca="false">B5+B6+B7+B8+B11</f>
        <v>184000</v>
      </c>
      <c r="C18" s="6" t="n">
        <f aca="false">B18/$B$13</f>
        <v>0.613333333333333</v>
      </c>
    </row>
    <row r="19" customFormat="false" ht="15" hidden="false" customHeight="false" outlineLevel="0" collapsed="false">
      <c r="A19" s="4" t="s">
        <v>25</v>
      </c>
      <c r="B19" s="10" t="n">
        <f aca="false">B9+B10+B12</f>
        <v>116000</v>
      </c>
      <c r="C19" s="6" t="n">
        <f aca="false">B19/$B$13</f>
        <v>0.386666666666667</v>
      </c>
    </row>
    <row r="20" customFormat="false" ht="15" hidden="false" customHeight="false" outlineLevel="0" collapsed="false">
      <c r="A20" s="4" t="s">
        <v>26</v>
      </c>
      <c r="B20" s="10" t="n">
        <f aca="false">B18/2</f>
        <v>92000</v>
      </c>
      <c r="C20" s="6"/>
    </row>
    <row r="22" customFormat="false" ht="39.75" hidden="false" customHeight="true" outlineLevel="0" collapsed="false">
      <c r="A22" s="11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6" min="3" style="0" width="12"/>
    <col collapsed="false" customWidth="true" hidden="false" outlineLevel="0" max="7" min="7" style="0" width="95"/>
  </cols>
  <sheetData>
    <row r="1" customFormat="false" ht="15" hidden="false" customHeight="false" outlineLevel="0" collapsed="false">
      <c r="A1" s="12" t="s">
        <v>28</v>
      </c>
    </row>
    <row r="2" customFormat="false" ht="15" hidden="false" customHeight="false" outlineLevel="0" collapsed="false">
      <c r="A2" s="2" t="s">
        <v>29</v>
      </c>
    </row>
    <row r="3" customFormat="false" ht="15" hidden="false" customHeight="false" outlineLevel="0" collapsed="false">
      <c r="A3" s="7" t="s">
        <v>30</v>
      </c>
      <c r="C3" s="13" t="n">
        <v>1</v>
      </c>
      <c r="D3" s="7" t="str">
        <f aca="false">CHOOSE($C$3,"Base","Downside","Upside")</f>
        <v>Base</v>
      </c>
    </row>
    <row r="4" customFormat="false" ht="15" hidden="false" customHeight="false" outlineLevel="0" collapsed="false">
      <c r="A4" s="14" t="s">
        <v>31</v>
      </c>
    </row>
    <row r="5" customFormat="false" ht="15" hidden="false" customHeight="false" outlineLevel="0" collapsed="false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</row>
    <row r="6" customFormat="false" ht="15" hidden="false" customHeight="false" outlineLevel="0" collapsed="false">
      <c r="A6" s="15" t="s">
        <v>39</v>
      </c>
      <c r="B6" s="16"/>
      <c r="C6" s="16"/>
      <c r="D6" s="16"/>
      <c r="E6" s="16"/>
      <c r="F6" s="16"/>
      <c r="G6" s="16"/>
    </row>
    <row r="7" customFormat="false" ht="22.35" hidden="false" customHeight="false" outlineLevel="0" collapsed="false">
      <c r="A7" s="4" t="s">
        <v>40</v>
      </c>
      <c r="B7" s="4" t="s">
        <v>41</v>
      </c>
      <c r="C7" s="17" t="n">
        <v>3</v>
      </c>
      <c r="D7" s="17" t="n">
        <v>4</v>
      </c>
      <c r="E7" s="17" t="n">
        <v>3</v>
      </c>
      <c r="F7" s="18" t="n">
        <f aca="false">CHOOSE($C$3,C7,D7,E7)</f>
        <v>3</v>
      </c>
      <c r="G7" s="19" t="s">
        <v>42</v>
      </c>
    </row>
    <row r="8" customFormat="false" ht="15" hidden="false" customHeight="false" outlineLevel="0" collapsed="false">
      <c r="A8" s="4" t="s">
        <v>43</v>
      </c>
      <c r="B8" s="4" t="s">
        <v>41</v>
      </c>
      <c r="C8" s="17" t="n">
        <v>5</v>
      </c>
      <c r="D8" s="17" t="n">
        <v>6</v>
      </c>
      <c r="E8" s="17" t="n">
        <v>5</v>
      </c>
      <c r="F8" s="18" t="n">
        <f aca="false">CHOOSE($C$3,C8,D8,E8)</f>
        <v>5</v>
      </c>
      <c r="G8" s="19" t="s">
        <v>44</v>
      </c>
    </row>
    <row r="9" customFormat="false" ht="15" hidden="false" customHeight="false" outlineLevel="0" collapsed="false">
      <c r="A9" s="4" t="s">
        <v>45</v>
      </c>
      <c r="B9" s="4" t="s">
        <v>46</v>
      </c>
      <c r="C9" s="17" t="n">
        <v>3</v>
      </c>
      <c r="D9" s="17" t="n">
        <v>4</v>
      </c>
      <c r="E9" s="17" t="n">
        <v>3</v>
      </c>
      <c r="F9" s="18" t="n">
        <f aca="false">CHOOSE($C$3,C9,D9,E9)</f>
        <v>3</v>
      </c>
      <c r="G9" s="19" t="s">
        <v>47</v>
      </c>
    </row>
    <row r="10" customFormat="false" ht="15" hidden="false" customHeight="false" outlineLevel="0" collapsed="false">
      <c r="A10" s="4" t="s">
        <v>48</v>
      </c>
      <c r="B10" s="4" t="s">
        <v>41</v>
      </c>
      <c r="C10" s="17" t="n">
        <v>1</v>
      </c>
      <c r="D10" s="17" t="n">
        <v>1</v>
      </c>
      <c r="E10" s="17" t="n">
        <v>1</v>
      </c>
      <c r="F10" s="18" t="n">
        <f aca="false">CHOOSE($C$3,C10,D10,E10)</f>
        <v>1</v>
      </c>
      <c r="G10" s="19" t="s">
        <v>49</v>
      </c>
    </row>
    <row r="11" customFormat="false" ht="15" hidden="false" customHeight="false" outlineLevel="0" collapsed="false">
      <c r="A11" s="15" t="s">
        <v>50</v>
      </c>
      <c r="B11" s="16"/>
      <c r="C11" s="16"/>
      <c r="D11" s="16"/>
      <c r="E11" s="16"/>
      <c r="F11" s="16"/>
      <c r="G11" s="16"/>
    </row>
    <row r="12" customFormat="false" ht="22.35" hidden="false" customHeight="false" outlineLevel="0" collapsed="false">
      <c r="A12" s="4" t="s">
        <v>51</v>
      </c>
      <c r="B12" s="4" t="s">
        <v>52</v>
      </c>
      <c r="C12" s="5" t="n">
        <v>500</v>
      </c>
      <c r="D12" s="5" t="n">
        <v>500</v>
      </c>
      <c r="E12" s="5" t="n">
        <v>500</v>
      </c>
      <c r="F12" s="20" t="n">
        <f aca="false">CHOOSE($C$3,C12,D12,E12)</f>
        <v>500</v>
      </c>
      <c r="G12" s="19" t="s">
        <v>53</v>
      </c>
    </row>
    <row r="13" customFormat="false" ht="22.35" hidden="false" customHeight="false" outlineLevel="0" collapsed="false">
      <c r="A13" s="4" t="s">
        <v>54</v>
      </c>
      <c r="B13" s="4" t="s">
        <v>55</v>
      </c>
      <c r="C13" s="21" t="n">
        <v>0.1</v>
      </c>
      <c r="D13" s="21" t="n">
        <v>0.2</v>
      </c>
      <c r="E13" s="21" t="n">
        <v>0.07</v>
      </c>
      <c r="F13" s="22" t="n">
        <f aca="false">CHOOSE($C$3,C13,D13,E13)</f>
        <v>0.1</v>
      </c>
      <c r="G13" s="19" t="s">
        <v>56</v>
      </c>
    </row>
    <row r="14" customFormat="false" ht="22.35" hidden="false" customHeight="false" outlineLevel="0" collapsed="false">
      <c r="A14" s="4" t="s">
        <v>57</v>
      </c>
      <c r="B14" s="4" t="s">
        <v>58</v>
      </c>
      <c r="C14" s="23" t="n">
        <v>1.7</v>
      </c>
      <c r="D14" s="23" t="n">
        <v>1.8</v>
      </c>
      <c r="E14" s="23" t="n">
        <v>1.6</v>
      </c>
      <c r="F14" s="24" t="n">
        <f aca="false">CHOOSE($C$3,C14,D14,E14)</f>
        <v>1.7</v>
      </c>
      <c r="G14" s="19" t="s">
        <v>59</v>
      </c>
    </row>
    <row r="15" customFormat="false" ht="15" hidden="false" customHeight="false" outlineLevel="0" collapsed="false">
      <c r="A15" s="4" t="s">
        <v>60</v>
      </c>
      <c r="B15" s="4" t="s">
        <v>61</v>
      </c>
      <c r="C15" s="21" t="n">
        <v>0.4</v>
      </c>
      <c r="D15" s="21" t="n">
        <v>0.4</v>
      </c>
      <c r="E15" s="21" t="n">
        <v>0.4</v>
      </c>
      <c r="F15" s="22" t="n">
        <f aca="false">CHOOSE($C$3,C15,D15,E15)</f>
        <v>0.4</v>
      </c>
      <c r="G15" s="19" t="s">
        <v>62</v>
      </c>
    </row>
    <row r="16" customFormat="false" ht="15" hidden="false" customHeight="false" outlineLevel="0" collapsed="false">
      <c r="A16" s="15" t="s">
        <v>63</v>
      </c>
      <c r="B16" s="16"/>
      <c r="C16" s="16"/>
      <c r="D16" s="16"/>
      <c r="E16" s="16"/>
      <c r="F16" s="16"/>
      <c r="G16" s="16"/>
    </row>
    <row r="17" customFormat="false" ht="22.35" hidden="false" customHeight="false" outlineLevel="0" collapsed="false">
      <c r="A17" s="4" t="s">
        <v>64</v>
      </c>
      <c r="B17" s="4" t="s">
        <v>65</v>
      </c>
      <c r="C17" s="5" t="n">
        <v>100</v>
      </c>
      <c r="D17" s="5" t="n">
        <v>120</v>
      </c>
      <c r="E17" s="5" t="n">
        <v>90</v>
      </c>
      <c r="F17" s="20" t="n">
        <f aca="false">CHOOSE($C$3,C17,D17,E17)</f>
        <v>100</v>
      </c>
      <c r="G17" s="19" t="s">
        <v>66</v>
      </c>
    </row>
    <row r="18" customFormat="false" ht="22.35" hidden="false" customHeight="false" outlineLevel="0" collapsed="false">
      <c r="A18" s="4" t="s">
        <v>67</v>
      </c>
      <c r="B18" s="4" t="s">
        <v>68</v>
      </c>
      <c r="C18" s="5" t="n">
        <v>80</v>
      </c>
      <c r="D18" s="5" t="n">
        <v>95</v>
      </c>
      <c r="E18" s="5" t="n">
        <v>75</v>
      </c>
      <c r="F18" s="20" t="n">
        <f aca="false">CHOOSE($C$3,C18,D18,E18)</f>
        <v>80</v>
      </c>
      <c r="G18" s="19" t="s">
        <v>69</v>
      </c>
    </row>
    <row r="19" customFormat="false" ht="15" hidden="false" customHeight="false" outlineLevel="0" collapsed="false">
      <c r="A19" s="4" t="s">
        <v>70</v>
      </c>
      <c r="B19" s="4" t="s">
        <v>71</v>
      </c>
      <c r="C19" s="5" t="n">
        <v>12</v>
      </c>
      <c r="D19" s="5" t="n">
        <v>15</v>
      </c>
      <c r="E19" s="5" t="n">
        <v>10</v>
      </c>
      <c r="F19" s="20" t="n">
        <f aca="false">CHOOSE($C$3,C19,D19,E19)</f>
        <v>12</v>
      </c>
      <c r="G19" s="19" t="s">
        <v>72</v>
      </c>
    </row>
    <row r="20" customFormat="false" ht="15" hidden="false" customHeight="false" outlineLevel="0" collapsed="false">
      <c r="A20" s="4" t="s">
        <v>73</v>
      </c>
      <c r="B20" s="4" t="s">
        <v>74</v>
      </c>
      <c r="C20" s="5" t="n">
        <v>3000</v>
      </c>
      <c r="D20" s="5" t="n">
        <v>4000</v>
      </c>
      <c r="E20" s="5" t="n">
        <v>2500</v>
      </c>
      <c r="F20" s="20" t="n">
        <f aca="false">CHOOSE($C$3,C20,D20,E20)</f>
        <v>3000</v>
      </c>
      <c r="G20" s="19" t="s">
        <v>75</v>
      </c>
    </row>
    <row r="21" customFormat="false" ht="15" hidden="false" customHeight="false" outlineLevel="0" collapsed="false">
      <c r="A21" s="4" t="s">
        <v>76</v>
      </c>
      <c r="B21" s="4" t="s">
        <v>74</v>
      </c>
      <c r="C21" s="5" t="n">
        <v>1500</v>
      </c>
      <c r="D21" s="5" t="n">
        <v>2000</v>
      </c>
      <c r="E21" s="5" t="n">
        <v>1200</v>
      </c>
      <c r="F21" s="20" t="n">
        <f aca="false">CHOOSE($C$3,C21,D21,E21)</f>
        <v>1500</v>
      </c>
      <c r="G21" s="19" t="s">
        <v>77</v>
      </c>
    </row>
    <row r="22" customFormat="false" ht="15" hidden="false" customHeight="false" outlineLevel="0" collapsed="false">
      <c r="A22" s="4" t="s">
        <v>78</v>
      </c>
      <c r="B22" s="4" t="s">
        <v>74</v>
      </c>
      <c r="C22" s="5" t="n">
        <v>4000</v>
      </c>
      <c r="D22" s="5" t="n">
        <v>6000</v>
      </c>
      <c r="E22" s="5" t="n">
        <v>3500</v>
      </c>
      <c r="F22" s="20" t="n">
        <f aca="false">CHOOSE($C$3,C22,D22,E22)</f>
        <v>4000</v>
      </c>
      <c r="G22" s="19" t="s">
        <v>75</v>
      </c>
    </row>
    <row r="23" customFormat="false" ht="22.35" hidden="false" customHeight="false" outlineLevel="0" collapsed="false">
      <c r="A23" s="4" t="s">
        <v>79</v>
      </c>
      <c r="B23" s="4" t="s">
        <v>80</v>
      </c>
      <c r="C23" s="5" t="n">
        <v>450</v>
      </c>
      <c r="D23" s="5" t="n">
        <v>380</v>
      </c>
      <c r="E23" s="5" t="n">
        <v>520</v>
      </c>
      <c r="F23" s="20" t="n">
        <f aca="false">CHOOSE($C$3,C23,D23,E23)</f>
        <v>450</v>
      </c>
      <c r="G23" s="19" t="s">
        <v>81</v>
      </c>
    </row>
    <row r="24" customFormat="false" ht="15" hidden="false" customHeight="false" outlineLevel="0" collapsed="false">
      <c r="A24" s="4" t="s">
        <v>82</v>
      </c>
      <c r="B24" s="4" t="s">
        <v>61</v>
      </c>
      <c r="C24" s="21" t="n">
        <v>0.6</v>
      </c>
      <c r="D24" s="21" t="n">
        <v>0.4</v>
      </c>
      <c r="E24" s="21" t="n">
        <v>0.8</v>
      </c>
      <c r="F24" s="22" t="n">
        <f aca="false">CHOOSE($C$3,C24,D24,E24)</f>
        <v>0.6</v>
      </c>
      <c r="G24" s="19" t="s">
        <v>83</v>
      </c>
    </row>
    <row r="25" customFormat="false" ht="15" hidden="false" customHeight="false" outlineLevel="0" collapsed="false">
      <c r="A25" s="4" t="s">
        <v>84</v>
      </c>
      <c r="B25" s="4" t="s">
        <v>85</v>
      </c>
      <c r="C25" s="21" t="n">
        <v>0.12</v>
      </c>
      <c r="D25" s="21" t="n">
        <v>0.08</v>
      </c>
      <c r="E25" s="21" t="n">
        <v>0.12</v>
      </c>
      <c r="F25" s="22" t="n">
        <f aca="false">CHOOSE($C$3,C25,D25,E25)</f>
        <v>0.12</v>
      </c>
      <c r="G25" s="19" t="s">
        <v>86</v>
      </c>
    </row>
    <row r="26" customFormat="false" ht="15" hidden="false" customHeight="false" outlineLevel="0" collapsed="false">
      <c r="A26" s="4" t="s">
        <v>87</v>
      </c>
      <c r="B26" s="4" t="s">
        <v>85</v>
      </c>
      <c r="C26" s="21" t="n">
        <v>0.12</v>
      </c>
      <c r="D26" s="21" t="n">
        <v>0.15</v>
      </c>
      <c r="E26" s="21" t="n">
        <v>0.12</v>
      </c>
      <c r="F26" s="22" t="n">
        <f aca="false">CHOOSE($C$3,C26,D26,E26)</f>
        <v>0.12</v>
      </c>
      <c r="G26" s="19" t="s">
        <v>88</v>
      </c>
    </row>
    <row r="27" customFormat="false" ht="15" hidden="false" customHeight="false" outlineLevel="0" collapsed="false">
      <c r="A27" s="15" t="s">
        <v>89</v>
      </c>
      <c r="B27" s="16"/>
      <c r="C27" s="16"/>
      <c r="D27" s="16"/>
      <c r="E27" s="16"/>
      <c r="F27" s="16"/>
      <c r="G27" s="16"/>
    </row>
    <row r="28" customFormat="false" ht="15" hidden="false" customHeight="false" outlineLevel="0" collapsed="false">
      <c r="A28" s="4" t="s">
        <v>90</v>
      </c>
      <c r="B28" s="4" t="s">
        <v>91</v>
      </c>
      <c r="C28" s="5" t="n">
        <v>9000</v>
      </c>
      <c r="D28" s="5" t="n">
        <v>9000</v>
      </c>
      <c r="E28" s="5" t="n">
        <v>9000</v>
      </c>
      <c r="F28" s="20" t="n">
        <f aca="false">CHOOSE($C$3,C28,D28,E28)</f>
        <v>9000</v>
      </c>
      <c r="G28" s="19" t="s">
        <v>92</v>
      </c>
    </row>
    <row r="29" customFormat="false" ht="15" hidden="false" customHeight="false" outlineLevel="0" collapsed="false">
      <c r="A29" s="4" t="s">
        <v>93</v>
      </c>
      <c r="B29" s="4" t="s">
        <v>91</v>
      </c>
      <c r="C29" s="5" t="n">
        <v>7000</v>
      </c>
      <c r="D29" s="5" t="n">
        <v>7000</v>
      </c>
      <c r="E29" s="5" t="n">
        <v>7000</v>
      </c>
      <c r="F29" s="20" t="n">
        <f aca="false">CHOOSE($C$3,C29,D29,E29)</f>
        <v>7000</v>
      </c>
      <c r="G29" s="19" t="s">
        <v>94</v>
      </c>
    </row>
    <row r="30" customFormat="false" ht="15" hidden="false" customHeight="false" outlineLevel="0" collapsed="false">
      <c r="A30" s="4" t="s">
        <v>95</v>
      </c>
      <c r="B30" s="4" t="s">
        <v>91</v>
      </c>
      <c r="C30" s="5" t="n">
        <v>600</v>
      </c>
      <c r="D30" s="5" t="n">
        <v>800</v>
      </c>
      <c r="E30" s="5" t="n">
        <v>600</v>
      </c>
      <c r="F30" s="20" t="n">
        <f aca="false">CHOOSE($C$3,C30,D30,E30)</f>
        <v>600</v>
      </c>
      <c r="G30" s="19" t="s">
        <v>75</v>
      </c>
    </row>
    <row r="31" customFormat="false" ht="15" hidden="false" customHeight="false" outlineLevel="0" collapsed="false">
      <c r="A31" s="4" t="s">
        <v>96</v>
      </c>
      <c r="B31" s="4" t="s">
        <v>91</v>
      </c>
      <c r="C31" s="5" t="n">
        <v>800</v>
      </c>
      <c r="D31" s="5" t="n">
        <v>800</v>
      </c>
      <c r="E31" s="5" t="n">
        <v>800</v>
      </c>
      <c r="F31" s="20" t="n">
        <f aca="false">CHOOSE($C$3,C31,D31,E31)</f>
        <v>800</v>
      </c>
      <c r="G31" s="19" t="s">
        <v>49</v>
      </c>
    </row>
    <row r="32" customFormat="false" ht="15" hidden="false" customHeight="false" outlineLevel="0" collapsed="false">
      <c r="A32" s="4" t="s">
        <v>97</v>
      </c>
      <c r="B32" s="4" t="s">
        <v>98</v>
      </c>
      <c r="C32" s="21" t="n">
        <v>0.05</v>
      </c>
      <c r="D32" s="21" t="n">
        <v>0.05</v>
      </c>
      <c r="E32" s="21" t="n">
        <v>0.05</v>
      </c>
      <c r="F32" s="22" t="n">
        <f aca="false">CHOOSE($C$3,C32,D32,E32)</f>
        <v>0.05</v>
      </c>
      <c r="G32" s="19" t="s">
        <v>49</v>
      </c>
    </row>
    <row r="33" customFormat="false" ht="15" hidden="false" customHeight="false" outlineLevel="0" collapsed="false">
      <c r="A33" s="4" t="s">
        <v>99</v>
      </c>
      <c r="B33" s="4" t="s">
        <v>100</v>
      </c>
      <c r="C33" s="5" t="n">
        <v>3000</v>
      </c>
      <c r="D33" s="5" t="n">
        <v>3000</v>
      </c>
      <c r="E33" s="5" t="n">
        <v>3000</v>
      </c>
      <c r="F33" s="20" t="n">
        <f aca="false">CHOOSE($C$3,C33,D33,E33)</f>
        <v>3000</v>
      </c>
      <c r="G33" s="19" t="s">
        <v>101</v>
      </c>
    </row>
    <row r="34" customFormat="false" ht="15" hidden="false" customHeight="false" outlineLevel="0" collapsed="false">
      <c r="A34" s="4" t="s">
        <v>102</v>
      </c>
      <c r="B34" s="4" t="s">
        <v>103</v>
      </c>
      <c r="C34" s="5" t="n">
        <v>2000</v>
      </c>
      <c r="D34" s="5" t="n">
        <v>2000</v>
      </c>
      <c r="E34" s="5" t="n">
        <v>2000</v>
      </c>
      <c r="F34" s="20" t="n">
        <f aca="false">CHOOSE($C$3,C34,D34,E34)</f>
        <v>2000</v>
      </c>
      <c r="G34" s="19" t="s">
        <v>75</v>
      </c>
    </row>
    <row r="35" customFormat="false" ht="15" hidden="false" customHeight="false" outlineLevel="0" collapsed="false">
      <c r="A35" s="15" t="s">
        <v>104</v>
      </c>
      <c r="B35" s="16"/>
      <c r="C35" s="16"/>
      <c r="D35" s="16"/>
      <c r="E35" s="16"/>
      <c r="F35" s="16"/>
      <c r="G35" s="16"/>
    </row>
    <row r="36" customFormat="false" ht="22.35" hidden="false" customHeight="false" outlineLevel="0" collapsed="false">
      <c r="A36" s="4" t="s">
        <v>105</v>
      </c>
      <c r="B36" s="4" t="s">
        <v>100</v>
      </c>
      <c r="C36" s="5" t="n">
        <v>250000</v>
      </c>
      <c r="D36" s="5" t="n">
        <v>250000</v>
      </c>
      <c r="E36" s="5" t="n">
        <v>250000</v>
      </c>
      <c r="F36" s="20" t="n">
        <f aca="false">CHOOSE($C$3,C36,D36,E36)</f>
        <v>250000</v>
      </c>
      <c r="G36" s="19" t="s">
        <v>106</v>
      </c>
    </row>
    <row r="37" customFormat="false" ht="15" hidden="false" customHeight="false" outlineLevel="0" collapsed="false">
      <c r="A37" s="4" t="s">
        <v>107</v>
      </c>
      <c r="B37" s="4" t="s">
        <v>100</v>
      </c>
      <c r="C37" s="5" t="n">
        <v>45000</v>
      </c>
      <c r="D37" s="5" t="n">
        <v>50000</v>
      </c>
      <c r="E37" s="5" t="n">
        <v>45000</v>
      </c>
      <c r="F37" s="20" t="n">
        <f aca="false">CHOOSE($C$3,C37,D37,E37)</f>
        <v>45000</v>
      </c>
      <c r="G37" s="19" t="s">
        <v>75</v>
      </c>
    </row>
    <row r="38" customFormat="false" ht="15" hidden="false" customHeight="false" outlineLevel="0" collapsed="false">
      <c r="A38" s="4" t="s">
        <v>108</v>
      </c>
      <c r="B38" s="4" t="s">
        <v>100</v>
      </c>
      <c r="C38" s="5" t="n">
        <v>15000</v>
      </c>
      <c r="D38" s="5" t="n">
        <v>15000</v>
      </c>
      <c r="E38" s="5" t="n">
        <v>15000</v>
      </c>
      <c r="F38" s="20" t="n">
        <f aca="false">CHOOSE($C$3,C38,D38,E38)</f>
        <v>15000</v>
      </c>
      <c r="G38" s="19" t="s">
        <v>109</v>
      </c>
    </row>
    <row r="39" customFormat="false" ht="15" hidden="false" customHeight="false" outlineLevel="0" collapsed="false">
      <c r="A39" s="4" t="s">
        <v>110</v>
      </c>
      <c r="B39" s="4" t="s">
        <v>100</v>
      </c>
      <c r="C39" s="5" t="n">
        <v>57000</v>
      </c>
      <c r="D39" s="5" t="n">
        <v>57000</v>
      </c>
      <c r="E39" s="5" t="n">
        <v>57000</v>
      </c>
      <c r="F39" s="20" t="n">
        <f aca="false">CHOOSE($C$3,C39,D39,E39)</f>
        <v>57000</v>
      </c>
      <c r="G39" s="19" t="s">
        <v>111</v>
      </c>
    </row>
    <row r="40" customFormat="false" ht="15" hidden="false" customHeight="false" outlineLevel="0" collapsed="false">
      <c r="A40" s="4" t="s">
        <v>112</v>
      </c>
      <c r="B40" s="4" t="s">
        <v>113</v>
      </c>
      <c r="C40" s="17" t="n">
        <v>10</v>
      </c>
      <c r="D40" s="17" t="n">
        <v>10</v>
      </c>
      <c r="E40" s="17" t="n">
        <v>10</v>
      </c>
      <c r="F40" s="18" t="n">
        <f aca="false">CHOOSE($C$3,C40,D40,E40)</f>
        <v>10</v>
      </c>
      <c r="G40" s="19" t="s">
        <v>49</v>
      </c>
    </row>
    <row r="41" customFormat="false" ht="15" hidden="false" customHeight="false" outlineLevel="0" collapsed="false">
      <c r="A41" s="4" t="s">
        <v>114</v>
      </c>
      <c r="B41" s="4" t="s">
        <v>113</v>
      </c>
      <c r="C41" s="17" t="n">
        <v>5</v>
      </c>
      <c r="D41" s="17" t="n">
        <v>5</v>
      </c>
      <c r="E41" s="17" t="n">
        <v>5</v>
      </c>
      <c r="F41" s="18" t="n">
        <f aca="false">CHOOSE($C$3,C41,D41,E41)</f>
        <v>5</v>
      </c>
      <c r="G41" s="19" t="s">
        <v>49</v>
      </c>
    </row>
    <row r="42" customFormat="false" ht="15" hidden="false" customHeight="false" outlineLevel="0" collapsed="false">
      <c r="A42" s="15" t="s">
        <v>115</v>
      </c>
      <c r="B42" s="16"/>
      <c r="C42" s="16"/>
      <c r="D42" s="16"/>
      <c r="E42" s="16"/>
      <c r="F42" s="16"/>
      <c r="G42" s="16"/>
    </row>
    <row r="43" customFormat="false" ht="15" hidden="false" customHeight="false" outlineLevel="0" collapsed="false">
      <c r="A43" s="4" t="s">
        <v>116</v>
      </c>
      <c r="B43" s="4" t="s">
        <v>100</v>
      </c>
      <c r="C43" s="5" t="n">
        <v>5000</v>
      </c>
      <c r="D43" s="5" t="n">
        <v>5000</v>
      </c>
      <c r="E43" s="5" t="n">
        <v>5000</v>
      </c>
      <c r="F43" s="20" t="n">
        <f aca="false">CHOOSE($C$3,C43,D43,E43)</f>
        <v>5000</v>
      </c>
      <c r="G43" s="19" t="s">
        <v>117</v>
      </c>
    </row>
    <row r="44" customFormat="false" ht="15" hidden="false" customHeight="false" outlineLevel="0" collapsed="false">
      <c r="A44" s="4" t="s">
        <v>118</v>
      </c>
      <c r="B44" s="4" t="s">
        <v>100</v>
      </c>
      <c r="C44" s="5" t="n">
        <v>20000</v>
      </c>
      <c r="D44" s="5" t="n">
        <v>20000</v>
      </c>
      <c r="E44" s="5" t="n">
        <v>20000</v>
      </c>
      <c r="F44" s="20" t="n">
        <f aca="false">CHOOSE($C$3,C44,D44,E44)</f>
        <v>20000</v>
      </c>
      <c r="G44" s="19" t="s">
        <v>75</v>
      </c>
    </row>
    <row r="45" customFormat="false" ht="15" hidden="false" customHeight="false" outlineLevel="0" collapsed="false">
      <c r="A45" s="4" t="s">
        <v>119</v>
      </c>
      <c r="B45" s="4" t="s">
        <v>41</v>
      </c>
      <c r="C45" s="17" t="n">
        <v>3</v>
      </c>
      <c r="D45" s="17" t="n">
        <v>3</v>
      </c>
      <c r="E45" s="17" t="n">
        <v>3</v>
      </c>
      <c r="F45" s="18" t="n">
        <f aca="false">CHOOSE($C$3,C45,D45,E45)</f>
        <v>3</v>
      </c>
      <c r="G45" s="19" t="s">
        <v>49</v>
      </c>
    </row>
    <row r="46" customFormat="false" ht="15" hidden="false" customHeight="false" outlineLevel="0" collapsed="false">
      <c r="A46" s="4" t="s">
        <v>120</v>
      </c>
      <c r="B46" s="4" t="s">
        <v>100</v>
      </c>
      <c r="C46" s="5" t="n">
        <v>100000</v>
      </c>
      <c r="D46" s="5" t="n">
        <v>100000</v>
      </c>
      <c r="E46" s="5" t="n">
        <v>100000</v>
      </c>
      <c r="F46" s="20" t="n">
        <f aca="false">CHOOSE($C$3,C46,D46,E46)</f>
        <v>100000</v>
      </c>
      <c r="G46" s="19" t="s">
        <v>121</v>
      </c>
    </row>
    <row r="47" customFormat="false" ht="15" hidden="false" customHeight="false" outlineLevel="0" collapsed="false">
      <c r="A47" s="4" t="s">
        <v>122</v>
      </c>
      <c r="B47" s="4" t="s">
        <v>85</v>
      </c>
      <c r="C47" s="21" t="n">
        <v>0.22</v>
      </c>
      <c r="D47" s="21" t="n">
        <v>0.26</v>
      </c>
      <c r="E47" s="21" t="n">
        <v>0.2</v>
      </c>
      <c r="F47" s="22" t="n">
        <f aca="false">CHOOSE($C$3,C47,D47,E47)</f>
        <v>0.22</v>
      </c>
      <c r="G47" s="19" t="s">
        <v>123</v>
      </c>
    </row>
    <row r="48" customFormat="false" ht="15" hidden="false" customHeight="false" outlineLevel="0" collapsed="false">
      <c r="A48" s="4" t="s">
        <v>124</v>
      </c>
      <c r="B48" s="4" t="s">
        <v>46</v>
      </c>
      <c r="C48" s="17" t="n">
        <v>2</v>
      </c>
      <c r="D48" s="17" t="n">
        <v>2</v>
      </c>
      <c r="E48" s="17" t="n">
        <v>2</v>
      </c>
      <c r="F48" s="18" t="n">
        <f aca="false">CHOOSE($C$3,C48,D48,E48)</f>
        <v>2</v>
      </c>
      <c r="G48" s="19" t="s">
        <v>49</v>
      </c>
    </row>
    <row r="49" customFormat="false" ht="15" hidden="false" customHeight="false" outlineLevel="0" collapsed="false">
      <c r="A49" s="4" t="s">
        <v>125</v>
      </c>
      <c r="B49" s="4" t="s">
        <v>46</v>
      </c>
      <c r="C49" s="17" t="n">
        <v>18</v>
      </c>
      <c r="D49" s="17" t="n">
        <v>18</v>
      </c>
      <c r="E49" s="17" t="n">
        <v>18</v>
      </c>
      <c r="F49" s="18" t="n">
        <f aca="false">CHOOSE($C$3,C49,D49,E49)</f>
        <v>18</v>
      </c>
      <c r="G49" s="19" t="s">
        <v>49</v>
      </c>
    </row>
    <row r="50" customFormat="false" ht="15" hidden="false" customHeight="false" outlineLevel="0" collapsed="false">
      <c r="A50" s="4" t="s">
        <v>126</v>
      </c>
      <c r="B50" s="4" t="s">
        <v>91</v>
      </c>
      <c r="F50" s="20" t="n">
        <f aca="false">PMT($F$47/12,$F$49,-$F$46)</f>
        <v>6572.86522057153</v>
      </c>
      <c r="G50" s="4" t="s">
        <v>127</v>
      </c>
    </row>
    <row r="51" customFormat="false" ht="22.35" hidden="false" customHeight="false" outlineLevel="0" collapsed="false">
      <c r="A51" s="4" t="s">
        <v>128</v>
      </c>
      <c r="B51" s="4" t="s">
        <v>129</v>
      </c>
      <c r="C51" s="21" t="n">
        <v>0.1</v>
      </c>
      <c r="D51" s="21" t="n">
        <v>0.1</v>
      </c>
      <c r="E51" s="21" t="n">
        <v>0.1</v>
      </c>
      <c r="F51" s="22" t="n">
        <f aca="false">CHOOSE($C$3,C51,D51,E51)</f>
        <v>0.1</v>
      </c>
      <c r="G51" s="19" t="s">
        <v>130</v>
      </c>
    </row>
    <row r="52" customFormat="false" ht="22.35" hidden="false" customHeight="false" outlineLevel="0" collapsed="false">
      <c r="A52" s="4" t="s">
        <v>131</v>
      </c>
      <c r="B52" s="4" t="s">
        <v>61</v>
      </c>
      <c r="C52" s="21" t="n">
        <v>0.25</v>
      </c>
      <c r="D52" s="21" t="n">
        <v>0.25</v>
      </c>
      <c r="E52" s="21" t="n">
        <v>0.25</v>
      </c>
      <c r="F52" s="22" t="n">
        <f aca="false">CHOOSE($C$3,C52,D52,E52)</f>
        <v>0.25</v>
      </c>
      <c r="G52" s="19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0"/>
    <col collapsed="false" customWidth="true" hidden="false" outlineLevel="0" max="62" min="3" style="0" width="9.51"/>
  </cols>
  <sheetData>
    <row r="1" customFormat="false" ht="15" hidden="false" customHeight="false" outlineLevel="0" collapsed="false">
      <c r="A1" s="1" t="s">
        <v>133</v>
      </c>
    </row>
    <row r="3" customFormat="false" ht="15" hidden="false" customHeight="false" outlineLevel="0" collapsed="false">
      <c r="A3" s="0" t="s">
        <v>134</v>
      </c>
      <c r="C3" s="25" t="n">
        <v>1</v>
      </c>
      <c r="D3" s="25" t="n">
        <v>2</v>
      </c>
      <c r="E3" s="25" t="n">
        <v>3</v>
      </c>
      <c r="F3" s="25" t="n">
        <v>4</v>
      </c>
      <c r="G3" s="25" t="n">
        <v>5</v>
      </c>
      <c r="H3" s="25" t="n">
        <v>6</v>
      </c>
      <c r="I3" s="25" t="n">
        <v>7</v>
      </c>
      <c r="J3" s="25" t="n">
        <v>8</v>
      </c>
      <c r="K3" s="25" t="n">
        <v>9</v>
      </c>
      <c r="L3" s="25" t="n">
        <v>10</v>
      </c>
      <c r="M3" s="25" t="n">
        <v>11</v>
      </c>
      <c r="N3" s="25" t="n">
        <v>12</v>
      </c>
      <c r="O3" s="25" t="n">
        <v>13</v>
      </c>
      <c r="P3" s="25" t="n">
        <v>14</v>
      </c>
      <c r="Q3" s="25" t="n">
        <v>15</v>
      </c>
      <c r="R3" s="25" t="n">
        <v>16</v>
      </c>
      <c r="S3" s="25" t="n">
        <v>17</v>
      </c>
      <c r="T3" s="25" t="n">
        <v>18</v>
      </c>
      <c r="U3" s="25" t="n">
        <v>19</v>
      </c>
      <c r="V3" s="25" t="n">
        <v>20</v>
      </c>
      <c r="W3" s="25" t="n">
        <v>21</v>
      </c>
      <c r="X3" s="25" t="n">
        <v>22</v>
      </c>
      <c r="Y3" s="25" t="n">
        <v>23</v>
      </c>
      <c r="Z3" s="25" t="n">
        <v>24</v>
      </c>
      <c r="AA3" s="25" t="n">
        <v>25</v>
      </c>
      <c r="AB3" s="25" t="n">
        <v>26</v>
      </c>
      <c r="AC3" s="25" t="n">
        <v>27</v>
      </c>
      <c r="AD3" s="25" t="n">
        <v>28</v>
      </c>
      <c r="AE3" s="25" t="n">
        <v>29</v>
      </c>
      <c r="AF3" s="25" t="n">
        <v>30</v>
      </c>
      <c r="AG3" s="25" t="n">
        <v>31</v>
      </c>
      <c r="AH3" s="25" t="n">
        <v>32</v>
      </c>
      <c r="AI3" s="25" t="n">
        <v>33</v>
      </c>
      <c r="AJ3" s="25" t="n">
        <v>34</v>
      </c>
      <c r="AK3" s="25" t="n">
        <v>35</v>
      </c>
      <c r="AL3" s="25" t="n">
        <v>36</v>
      </c>
      <c r="AM3" s="25" t="n">
        <v>37</v>
      </c>
      <c r="AN3" s="25" t="n">
        <v>38</v>
      </c>
      <c r="AO3" s="25" t="n">
        <v>39</v>
      </c>
      <c r="AP3" s="25" t="n">
        <v>40</v>
      </c>
      <c r="AQ3" s="25" t="n">
        <v>41</v>
      </c>
      <c r="AR3" s="25" t="n">
        <v>42</v>
      </c>
      <c r="AS3" s="25" t="n">
        <v>43</v>
      </c>
      <c r="AT3" s="25" t="n">
        <v>44</v>
      </c>
      <c r="AU3" s="25" t="n">
        <v>45</v>
      </c>
      <c r="AV3" s="25" t="n">
        <v>46</v>
      </c>
      <c r="AW3" s="25" t="n">
        <v>47</v>
      </c>
      <c r="AX3" s="25" t="n">
        <v>48</v>
      </c>
      <c r="AY3" s="25" t="n">
        <v>49</v>
      </c>
      <c r="AZ3" s="25" t="n">
        <v>50</v>
      </c>
      <c r="BA3" s="25" t="n">
        <v>51</v>
      </c>
      <c r="BB3" s="25" t="n">
        <v>52</v>
      </c>
      <c r="BC3" s="25" t="n">
        <v>53</v>
      </c>
      <c r="BD3" s="25" t="n">
        <v>54</v>
      </c>
      <c r="BE3" s="25" t="n">
        <v>55</v>
      </c>
      <c r="BF3" s="25" t="n">
        <v>56</v>
      </c>
      <c r="BG3" s="25" t="n">
        <v>57</v>
      </c>
      <c r="BH3" s="25" t="n">
        <v>58</v>
      </c>
      <c r="BI3" s="25" t="n">
        <v>59</v>
      </c>
      <c r="BJ3" s="25" t="n">
        <v>60</v>
      </c>
    </row>
    <row r="4" customFormat="false" ht="15" hidden="false" customHeight="false" outlineLevel="0" collapsed="false">
      <c r="A4" s="0" t="s">
        <v>135</v>
      </c>
      <c r="C4" s="25" t="n">
        <f aca="false">INT((C3-1)/12)+1</f>
        <v>1</v>
      </c>
      <c r="D4" s="25" t="n">
        <f aca="false">INT((D3-1)/12)+1</f>
        <v>1</v>
      </c>
      <c r="E4" s="25" t="n">
        <f aca="false">INT((E3-1)/12)+1</f>
        <v>1</v>
      </c>
      <c r="F4" s="25" t="n">
        <f aca="false">INT((F3-1)/12)+1</f>
        <v>1</v>
      </c>
      <c r="G4" s="25" t="n">
        <f aca="false">INT((G3-1)/12)+1</f>
        <v>1</v>
      </c>
      <c r="H4" s="25" t="n">
        <f aca="false">INT((H3-1)/12)+1</f>
        <v>1</v>
      </c>
      <c r="I4" s="25" t="n">
        <f aca="false">INT((I3-1)/12)+1</f>
        <v>1</v>
      </c>
      <c r="J4" s="25" t="n">
        <f aca="false">INT((J3-1)/12)+1</f>
        <v>1</v>
      </c>
      <c r="K4" s="25" t="n">
        <f aca="false">INT((K3-1)/12)+1</f>
        <v>1</v>
      </c>
      <c r="L4" s="25" t="n">
        <f aca="false">INT((L3-1)/12)+1</f>
        <v>1</v>
      </c>
      <c r="M4" s="25" t="n">
        <f aca="false">INT((M3-1)/12)+1</f>
        <v>1</v>
      </c>
      <c r="N4" s="25" t="n">
        <f aca="false">INT((N3-1)/12)+1</f>
        <v>1</v>
      </c>
      <c r="O4" s="25" t="n">
        <f aca="false">INT((O3-1)/12)+1</f>
        <v>2</v>
      </c>
      <c r="P4" s="25" t="n">
        <f aca="false">INT((P3-1)/12)+1</f>
        <v>2</v>
      </c>
      <c r="Q4" s="25" t="n">
        <f aca="false">INT((Q3-1)/12)+1</f>
        <v>2</v>
      </c>
      <c r="R4" s="25" t="n">
        <f aca="false">INT((R3-1)/12)+1</f>
        <v>2</v>
      </c>
      <c r="S4" s="25" t="n">
        <f aca="false">INT((S3-1)/12)+1</f>
        <v>2</v>
      </c>
      <c r="T4" s="25" t="n">
        <f aca="false">INT((T3-1)/12)+1</f>
        <v>2</v>
      </c>
      <c r="U4" s="25" t="n">
        <f aca="false">INT((U3-1)/12)+1</f>
        <v>2</v>
      </c>
      <c r="V4" s="25" t="n">
        <f aca="false">INT((V3-1)/12)+1</f>
        <v>2</v>
      </c>
      <c r="W4" s="25" t="n">
        <f aca="false">INT((W3-1)/12)+1</f>
        <v>2</v>
      </c>
      <c r="X4" s="25" t="n">
        <f aca="false">INT((X3-1)/12)+1</f>
        <v>2</v>
      </c>
      <c r="Y4" s="25" t="n">
        <f aca="false">INT((Y3-1)/12)+1</f>
        <v>2</v>
      </c>
      <c r="Z4" s="25" t="n">
        <f aca="false">INT((Z3-1)/12)+1</f>
        <v>2</v>
      </c>
      <c r="AA4" s="25" t="n">
        <f aca="false">INT((AA3-1)/12)+1</f>
        <v>3</v>
      </c>
      <c r="AB4" s="25" t="n">
        <f aca="false">INT((AB3-1)/12)+1</f>
        <v>3</v>
      </c>
      <c r="AC4" s="25" t="n">
        <f aca="false">INT((AC3-1)/12)+1</f>
        <v>3</v>
      </c>
      <c r="AD4" s="25" t="n">
        <f aca="false">INT((AD3-1)/12)+1</f>
        <v>3</v>
      </c>
      <c r="AE4" s="25" t="n">
        <f aca="false">INT((AE3-1)/12)+1</f>
        <v>3</v>
      </c>
      <c r="AF4" s="25" t="n">
        <f aca="false">INT((AF3-1)/12)+1</f>
        <v>3</v>
      </c>
      <c r="AG4" s="25" t="n">
        <f aca="false">INT((AG3-1)/12)+1</f>
        <v>3</v>
      </c>
      <c r="AH4" s="25" t="n">
        <f aca="false">INT((AH3-1)/12)+1</f>
        <v>3</v>
      </c>
      <c r="AI4" s="25" t="n">
        <f aca="false">INT((AI3-1)/12)+1</f>
        <v>3</v>
      </c>
      <c r="AJ4" s="25" t="n">
        <f aca="false">INT((AJ3-1)/12)+1</f>
        <v>3</v>
      </c>
      <c r="AK4" s="25" t="n">
        <f aca="false">INT((AK3-1)/12)+1</f>
        <v>3</v>
      </c>
      <c r="AL4" s="25" t="n">
        <f aca="false">INT((AL3-1)/12)+1</f>
        <v>3</v>
      </c>
      <c r="AM4" s="25" t="n">
        <f aca="false">INT((AM3-1)/12)+1</f>
        <v>4</v>
      </c>
      <c r="AN4" s="25" t="n">
        <f aca="false">INT((AN3-1)/12)+1</f>
        <v>4</v>
      </c>
      <c r="AO4" s="25" t="n">
        <f aca="false">INT((AO3-1)/12)+1</f>
        <v>4</v>
      </c>
      <c r="AP4" s="25" t="n">
        <f aca="false">INT((AP3-1)/12)+1</f>
        <v>4</v>
      </c>
      <c r="AQ4" s="25" t="n">
        <f aca="false">INT((AQ3-1)/12)+1</f>
        <v>4</v>
      </c>
      <c r="AR4" s="25" t="n">
        <f aca="false">INT((AR3-1)/12)+1</f>
        <v>4</v>
      </c>
      <c r="AS4" s="25" t="n">
        <f aca="false">INT((AS3-1)/12)+1</f>
        <v>4</v>
      </c>
      <c r="AT4" s="25" t="n">
        <f aca="false">INT((AT3-1)/12)+1</f>
        <v>4</v>
      </c>
      <c r="AU4" s="25" t="n">
        <f aca="false">INT((AU3-1)/12)+1</f>
        <v>4</v>
      </c>
      <c r="AV4" s="25" t="n">
        <f aca="false">INT((AV3-1)/12)+1</f>
        <v>4</v>
      </c>
      <c r="AW4" s="25" t="n">
        <f aca="false">INT((AW3-1)/12)+1</f>
        <v>4</v>
      </c>
      <c r="AX4" s="25" t="n">
        <f aca="false">INT((AX3-1)/12)+1</f>
        <v>4</v>
      </c>
      <c r="AY4" s="25" t="n">
        <f aca="false">INT((AY3-1)/12)+1</f>
        <v>5</v>
      </c>
      <c r="AZ4" s="25" t="n">
        <f aca="false">INT((AZ3-1)/12)+1</f>
        <v>5</v>
      </c>
      <c r="BA4" s="25" t="n">
        <f aca="false">INT((BA3-1)/12)+1</f>
        <v>5</v>
      </c>
      <c r="BB4" s="25" t="n">
        <f aca="false">INT((BB3-1)/12)+1</f>
        <v>5</v>
      </c>
      <c r="BC4" s="25" t="n">
        <f aca="false">INT((BC3-1)/12)+1</f>
        <v>5</v>
      </c>
      <c r="BD4" s="25" t="n">
        <f aca="false">INT((BD3-1)/12)+1</f>
        <v>5</v>
      </c>
      <c r="BE4" s="25" t="n">
        <f aca="false">INT((BE3-1)/12)+1</f>
        <v>5</v>
      </c>
      <c r="BF4" s="25" t="n">
        <f aca="false">INT((BF3-1)/12)+1</f>
        <v>5</v>
      </c>
      <c r="BG4" s="25" t="n">
        <f aca="false">INT((BG3-1)/12)+1</f>
        <v>5</v>
      </c>
      <c r="BH4" s="25" t="n">
        <f aca="false">INT((BH3-1)/12)+1</f>
        <v>5</v>
      </c>
      <c r="BI4" s="25" t="n">
        <f aca="false">INT((BI3-1)/12)+1</f>
        <v>5</v>
      </c>
      <c r="BJ4" s="25" t="n">
        <f aca="false">INT((BJ3-1)/12)+1</f>
        <v>5</v>
      </c>
    </row>
    <row r="5" customFormat="false" ht="15" hidden="false" customHeight="false" outlineLevel="0" collapsed="false">
      <c r="A5" s="0" t="s">
        <v>136</v>
      </c>
      <c r="C5" s="25" t="s">
        <v>137</v>
      </c>
      <c r="D5" s="25" t="s">
        <v>138</v>
      </c>
      <c r="E5" s="25" t="s">
        <v>139</v>
      </c>
      <c r="F5" s="25" t="s">
        <v>140</v>
      </c>
      <c r="G5" s="25" t="s">
        <v>141</v>
      </c>
      <c r="H5" s="25" t="s">
        <v>142</v>
      </c>
      <c r="I5" s="25" t="s">
        <v>143</v>
      </c>
      <c r="J5" s="25" t="s">
        <v>144</v>
      </c>
      <c r="K5" s="25" t="s">
        <v>145</v>
      </c>
      <c r="L5" s="25" t="s">
        <v>146</v>
      </c>
      <c r="M5" s="25" t="s">
        <v>147</v>
      </c>
      <c r="N5" s="25" t="s">
        <v>148</v>
      </c>
      <c r="O5" s="25" t="s">
        <v>137</v>
      </c>
      <c r="P5" s="25" t="s">
        <v>138</v>
      </c>
      <c r="Q5" s="25" t="s">
        <v>139</v>
      </c>
      <c r="R5" s="25" t="s">
        <v>140</v>
      </c>
      <c r="S5" s="25" t="s">
        <v>141</v>
      </c>
      <c r="T5" s="25" t="s">
        <v>142</v>
      </c>
      <c r="U5" s="25" t="s">
        <v>143</v>
      </c>
      <c r="V5" s="25" t="s">
        <v>144</v>
      </c>
      <c r="W5" s="25" t="s">
        <v>145</v>
      </c>
      <c r="X5" s="25" t="s">
        <v>146</v>
      </c>
      <c r="Y5" s="25" t="s">
        <v>147</v>
      </c>
      <c r="Z5" s="25" t="s">
        <v>148</v>
      </c>
      <c r="AA5" s="25" t="s">
        <v>137</v>
      </c>
      <c r="AB5" s="25" t="s">
        <v>138</v>
      </c>
      <c r="AC5" s="25" t="s">
        <v>139</v>
      </c>
      <c r="AD5" s="25" t="s">
        <v>140</v>
      </c>
      <c r="AE5" s="25" t="s">
        <v>141</v>
      </c>
      <c r="AF5" s="25" t="s">
        <v>142</v>
      </c>
      <c r="AG5" s="25" t="s">
        <v>143</v>
      </c>
      <c r="AH5" s="25" t="s">
        <v>144</v>
      </c>
      <c r="AI5" s="25" t="s">
        <v>145</v>
      </c>
      <c r="AJ5" s="25" t="s">
        <v>146</v>
      </c>
      <c r="AK5" s="25" t="s">
        <v>147</v>
      </c>
      <c r="AL5" s="25" t="s">
        <v>148</v>
      </c>
      <c r="AM5" s="25" t="s">
        <v>137</v>
      </c>
      <c r="AN5" s="25" t="s">
        <v>138</v>
      </c>
      <c r="AO5" s="25" t="s">
        <v>139</v>
      </c>
      <c r="AP5" s="25" t="s">
        <v>140</v>
      </c>
      <c r="AQ5" s="25" t="s">
        <v>141</v>
      </c>
      <c r="AR5" s="25" t="s">
        <v>142</v>
      </c>
      <c r="AS5" s="25" t="s">
        <v>143</v>
      </c>
      <c r="AT5" s="25" t="s">
        <v>144</v>
      </c>
      <c r="AU5" s="25" t="s">
        <v>145</v>
      </c>
      <c r="AV5" s="25" t="s">
        <v>146</v>
      </c>
      <c r="AW5" s="25" t="s">
        <v>147</v>
      </c>
      <c r="AX5" s="25" t="s">
        <v>148</v>
      </c>
      <c r="AY5" s="25" t="s">
        <v>137</v>
      </c>
      <c r="AZ5" s="25" t="s">
        <v>138</v>
      </c>
      <c r="BA5" s="25" t="s">
        <v>139</v>
      </c>
      <c r="BB5" s="25" t="s">
        <v>140</v>
      </c>
      <c r="BC5" s="25" t="s">
        <v>141</v>
      </c>
      <c r="BD5" s="25" t="s">
        <v>142</v>
      </c>
      <c r="BE5" s="25" t="s">
        <v>143</v>
      </c>
      <c r="BF5" s="25" t="s">
        <v>144</v>
      </c>
      <c r="BG5" s="25" t="s">
        <v>145</v>
      </c>
      <c r="BH5" s="25" t="s">
        <v>146</v>
      </c>
      <c r="BI5" s="25" t="s">
        <v>147</v>
      </c>
      <c r="BJ5" s="25" t="s">
        <v>148</v>
      </c>
    </row>
    <row r="6" customFormat="false" ht="15" hidden="false" customHeight="false" outlineLevel="0" collapsed="false">
      <c r="A6" s="15" t="s">
        <v>149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</row>
    <row r="7" customFormat="false" ht="15" hidden="false" customHeight="false" outlineLevel="0" collapsed="false">
      <c r="A7" s="4" t="s">
        <v>150</v>
      </c>
      <c r="B7" s="4"/>
      <c r="C7" s="26" t="n">
        <f aca="false">(1+Assumptions!$F$25)^(C$4-1)</f>
        <v>1</v>
      </c>
      <c r="D7" s="26" t="n">
        <f aca="false">(1+Assumptions!$F$25)^(D$4-1)</f>
        <v>1</v>
      </c>
      <c r="E7" s="26" t="n">
        <f aca="false">(1+Assumptions!$F$25)^(E$4-1)</f>
        <v>1</v>
      </c>
      <c r="F7" s="26" t="n">
        <f aca="false">(1+Assumptions!$F$25)^(F$4-1)</f>
        <v>1</v>
      </c>
      <c r="G7" s="26" t="n">
        <f aca="false">(1+Assumptions!$F$25)^(G$4-1)</f>
        <v>1</v>
      </c>
      <c r="H7" s="26" t="n">
        <f aca="false">(1+Assumptions!$F$25)^(H$4-1)</f>
        <v>1</v>
      </c>
      <c r="I7" s="26" t="n">
        <f aca="false">(1+Assumptions!$F$25)^(I$4-1)</f>
        <v>1</v>
      </c>
      <c r="J7" s="26" t="n">
        <f aca="false">(1+Assumptions!$F$25)^(J$4-1)</f>
        <v>1</v>
      </c>
      <c r="K7" s="26" t="n">
        <f aca="false">(1+Assumptions!$F$25)^(K$4-1)</f>
        <v>1</v>
      </c>
      <c r="L7" s="26" t="n">
        <f aca="false">(1+Assumptions!$F$25)^(L$4-1)</f>
        <v>1</v>
      </c>
      <c r="M7" s="26" t="n">
        <f aca="false">(1+Assumptions!$F$25)^(M$4-1)</f>
        <v>1</v>
      </c>
      <c r="N7" s="26" t="n">
        <f aca="false">(1+Assumptions!$F$25)^(N$4-1)</f>
        <v>1</v>
      </c>
      <c r="O7" s="26" t="n">
        <f aca="false">(1+Assumptions!$F$25)^(O$4-1)</f>
        <v>1.12</v>
      </c>
      <c r="P7" s="26" t="n">
        <f aca="false">(1+Assumptions!$F$25)^(P$4-1)</f>
        <v>1.12</v>
      </c>
      <c r="Q7" s="26" t="n">
        <f aca="false">(1+Assumptions!$F$25)^(Q$4-1)</f>
        <v>1.12</v>
      </c>
      <c r="R7" s="26" t="n">
        <f aca="false">(1+Assumptions!$F$25)^(R$4-1)</f>
        <v>1.12</v>
      </c>
      <c r="S7" s="26" t="n">
        <f aca="false">(1+Assumptions!$F$25)^(S$4-1)</f>
        <v>1.12</v>
      </c>
      <c r="T7" s="26" t="n">
        <f aca="false">(1+Assumptions!$F$25)^(T$4-1)</f>
        <v>1.12</v>
      </c>
      <c r="U7" s="26" t="n">
        <f aca="false">(1+Assumptions!$F$25)^(U$4-1)</f>
        <v>1.12</v>
      </c>
      <c r="V7" s="26" t="n">
        <f aca="false">(1+Assumptions!$F$25)^(V$4-1)</f>
        <v>1.12</v>
      </c>
      <c r="W7" s="26" t="n">
        <f aca="false">(1+Assumptions!$F$25)^(W$4-1)</f>
        <v>1.12</v>
      </c>
      <c r="X7" s="26" t="n">
        <f aca="false">(1+Assumptions!$F$25)^(X$4-1)</f>
        <v>1.12</v>
      </c>
      <c r="Y7" s="26" t="n">
        <f aca="false">(1+Assumptions!$F$25)^(Y$4-1)</f>
        <v>1.12</v>
      </c>
      <c r="Z7" s="26" t="n">
        <f aca="false">(1+Assumptions!$F$25)^(Z$4-1)</f>
        <v>1.12</v>
      </c>
      <c r="AA7" s="26" t="n">
        <f aca="false">(1+Assumptions!$F$25)^(AA$4-1)</f>
        <v>1.2544</v>
      </c>
      <c r="AB7" s="26" t="n">
        <f aca="false">(1+Assumptions!$F$25)^(AB$4-1)</f>
        <v>1.2544</v>
      </c>
      <c r="AC7" s="26" t="n">
        <f aca="false">(1+Assumptions!$F$25)^(AC$4-1)</f>
        <v>1.2544</v>
      </c>
      <c r="AD7" s="26" t="n">
        <f aca="false">(1+Assumptions!$F$25)^(AD$4-1)</f>
        <v>1.2544</v>
      </c>
      <c r="AE7" s="26" t="n">
        <f aca="false">(1+Assumptions!$F$25)^(AE$4-1)</f>
        <v>1.2544</v>
      </c>
      <c r="AF7" s="26" t="n">
        <f aca="false">(1+Assumptions!$F$25)^(AF$4-1)</f>
        <v>1.2544</v>
      </c>
      <c r="AG7" s="26" t="n">
        <f aca="false">(1+Assumptions!$F$25)^(AG$4-1)</f>
        <v>1.2544</v>
      </c>
      <c r="AH7" s="26" t="n">
        <f aca="false">(1+Assumptions!$F$25)^(AH$4-1)</f>
        <v>1.2544</v>
      </c>
      <c r="AI7" s="26" t="n">
        <f aca="false">(1+Assumptions!$F$25)^(AI$4-1)</f>
        <v>1.2544</v>
      </c>
      <c r="AJ7" s="26" t="n">
        <f aca="false">(1+Assumptions!$F$25)^(AJ$4-1)</f>
        <v>1.2544</v>
      </c>
      <c r="AK7" s="26" t="n">
        <f aca="false">(1+Assumptions!$F$25)^(AK$4-1)</f>
        <v>1.2544</v>
      </c>
      <c r="AL7" s="26" t="n">
        <f aca="false">(1+Assumptions!$F$25)^(AL$4-1)</f>
        <v>1.2544</v>
      </c>
      <c r="AM7" s="26" t="n">
        <f aca="false">(1+Assumptions!$F$25)^(AM$4-1)</f>
        <v>1.404928</v>
      </c>
      <c r="AN7" s="26" t="n">
        <f aca="false">(1+Assumptions!$F$25)^(AN$4-1)</f>
        <v>1.404928</v>
      </c>
      <c r="AO7" s="26" t="n">
        <f aca="false">(1+Assumptions!$F$25)^(AO$4-1)</f>
        <v>1.404928</v>
      </c>
      <c r="AP7" s="26" t="n">
        <f aca="false">(1+Assumptions!$F$25)^(AP$4-1)</f>
        <v>1.404928</v>
      </c>
      <c r="AQ7" s="26" t="n">
        <f aca="false">(1+Assumptions!$F$25)^(AQ$4-1)</f>
        <v>1.404928</v>
      </c>
      <c r="AR7" s="26" t="n">
        <f aca="false">(1+Assumptions!$F$25)^(AR$4-1)</f>
        <v>1.404928</v>
      </c>
      <c r="AS7" s="26" t="n">
        <f aca="false">(1+Assumptions!$F$25)^(AS$4-1)</f>
        <v>1.404928</v>
      </c>
      <c r="AT7" s="26" t="n">
        <f aca="false">(1+Assumptions!$F$25)^(AT$4-1)</f>
        <v>1.404928</v>
      </c>
      <c r="AU7" s="26" t="n">
        <f aca="false">(1+Assumptions!$F$25)^(AU$4-1)</f>
        <v>1.404928</v>
      </c>
      <c r="AV7" s="26" t="n">
        <f aca="false">(1+Assumptions!$F$25)^(AV$4-1)</f>
        <v>1.404928</v>
      </c>
      <c r="AW7" s="26" t="n">
        <f aca="false">(1+Assumptions!$F$25)^(AW$4-1)</f>
        <v>1.404928</v>
      </c>
      <c r="AX7" s="26" t="n">
        <f aca="false">(1+Assumptions!$F$25)^(AX$4-1)</f>
        <v>1.404928</v>
      </c>
      <c r="AY7" s="26" t="n">
        <f aca="false">(1+Assumptions!$F$25)^(AY$4-1)</f>
        <v>1.57351936</v>
      </c>
      <c r="AZ7" s="26" t="n">
        <f aca="false">(1+Assumptions!$F$25)^(AZ$4-1)</f>
        <v>1.57351936</v>
      </c>
      <c r="BA7" s="26" t="n">
        <f aca="false">(1+Assumptions!$F$25)^(BA$4-1)</f>
        <v>1.57351936</v>
      </c>
      <c r="BB7" s="26" t="n">
        <f aca="false">(1+Assumptions!$F$25)^(BB$4-1)</f>
        <v>1.57351936</v>
      </c>
      <c r="BC7" s="26" t="n">
        <f aca="false">(1+Assumptions!$F$25)^(BC$4-1)</f>
        <v>1.57351936</v>
      </c>
      <c r="BD7" s="26" t="n">
        <f aca="false">(1+Assumptions!$F$25)^(BD$4-1)</f>
        <v>1.57351936</v>
      </c>
      <c r="BE7" s="26" t="n">
        <f aca="false">(1+Assumptions!$F$25)^(BE$4-1)</f>
        <v>1.57351936</v>
      </c>
      <c r="BF7" s="26" t="n">
        <f aca="false">(1+Assumptions!$F$25)^(BF$4-1)</f>
        <v>1.57351936</v>
      </c>
      <c r="BG7" s="26" t="n">
        <f aca="false">(1+Assumptions!$F$25)^(BG$4-1)</f>
        <v>1.57351936</v>
      </c>
      <c r="BH7" s="26" t="n">
        <f aca="false">(1+Assumptions!$F$25)^(BH$4-1)</f>
        <v>1.57351936</v>
      </c>
      <c r="BI7" s="26" t="n">
        <f aca="false">(1+Assumptions!$F$25)^(BI$4-1)</f>
        <v>1.57351936</v>
      </c>
      <c r="BJ7" s="26" t="n">
        <f aca="false">(1+Assumptions!$F$25)^(BJ$4-1)</f>
        <v>1.57351936</v>
      </c>
    </row>
    <row r="8" customFormat="false" ht="15" hidden="false" customHeight="false" outlineLevel="0" collapsed="false">
      <c r="A8" s="4" t="s">
        <v>151</v>
      </c>
      <c r="B8" s="4"/>
      <c r="C8" s="26" t="n">
        <f aca="false">(1+Assumptions!$F$26)^(C$4-1)</f>
        <v>1</v>
      </c>
      <c r="D8" s="26" t="n">
        <f aca="false">(1+Assumptions!$F$26)^(D$4-1)</f>
        <v>1</v>
      </c>
      <c r="E8" s="26" t="n">
        <f aca="false">(1+Assumptions!$F$26)^(E$4-1)</f>
        <v>1</v>
      </c>
      <c r="F8" s="26" t="n">
        <f aca="false">(1+Assumptions!$F$26)^(F$4-1)</f>
        <v>1</v>
      </c>
      <c r="G8" s="26" t="n">
        <f aca="false">(1+Assumptions!$F$26)^(G$4-1)</f>
        <v>1</v>
      </c>
      <c r="H8" s="26" t="n">
        <f aca="false">(1+Assumptions!$F$26)^(H$4-1)</f>
        <v>1</v>
      </c>
      <c r="I8" s="26" t="n">
        <f aca="false">(1+Assumptions!$F$26)^(I$4-1)</f>
        <v>1</v>
      </c>
      <c r="J8" s="26" t="n">
        <f aca="false">(1+Assumptions!$F$26)^(J$4-1)</f>
        <v>1</v>
      </c>
      <c r="K8" s="26" t="n">
        <f aca="false">(1+Assumptions!$F$26)^(K$4-1)</f>
        <v>1</v>
      </c>
      <c r="L8" s="26" t="n">
        <f aca="false">(1+Assumptions!$F$26)^(L$4-1)</f>
        <v>1</v>
      </c>
      <c r="M8" s="26" t="n">
        <f aca="false">(1+Assumptions!$F$26)^(M$4-1)</f>
        <v>1</v>
      </c>
      <c r="N8" s="26" t="n">
        <f aca="false">(1+Assumptions!$F$26)^(N$4-1)</f>
        <v>1</v>
      </c>
      <c r="O8" s="26" t="n">
        <f aca="false">(1+Assumptions!$F$26)^(O$4-1)</f>
        <v>1.12</v>
      </c>
      <c r="P8" s="26" t="n">
        <f aca="false">(1+Assumptions!$F$26)^(P$4-1)</f>
        <v>1.12</v>
      </c>
      <c r="Q8" s="26" t="n">
        <f aca="false">(1+Assumptions!$F$26)^(Q$4-1)</f>
        <v>1.12</v>
      </c>
      <c r="R8" s="26" t="n">
        <f aca="false">(1+Assumptions!$F$26)^(R$4-1)</f>
        <v>1.12</v>
      </c>
      <c r="S8" s="26" t="n">
        <f aca="false">(1+Assumptions!$F$26)^(S$4-1)</f>
        <v>1.12</v>
      </c>
      <c r="T8" s="26" t="n">
        <f aca="false">(1+Assumptions!$F$26)^(T$4-1)</f>
        <v>1.12</v>
      </c>
      <c r="U8" s="26" t="n">
        <f aca="false">(1+Assumptions!$F$26)^(U$4-1)</f>
        <v>1.12</v>
      </c>
      <c r="V8" s="26" t="n">
        <f aca="false">(1+Assumptions!$F$26)^(V$4-1)</f>
        <v>1.12</v>
      </c>
      <c r="W8" s="26" t="n">
        <f aca="false">(1+Assumptions!$F$26)^(W$4-1)</f>
        <v>1.12</v>
      </c>
      <c r="X8" s="26" t="n">
        <f aca="false">(1+Assumptions!$F$26)^(X$4-1)</f>
        <v>1.12</v>
      </c>
      <c r="Y8" s="26" t="n">
        <f aca="false">(1+Assumptions!$F$26)^(Y$4-1)</f>
        <v>1.12</v>
      </c>
      <c r="Z8" s="26" t="n">
        <f aca="false">(1+Assumptions!$F$26)^(Z$4-1)</f>
        <v>1.12</v>
      </c>
      <c r="AA8" s="26" t="n">
        <f aca="false">(1+Assumptions!$F$26)^(AA$4-1)</f>
        <v>1.2544</v>
      </c>
      <c r="AB8" s="26" t="n">
        <f aca="false">(1+Assumptions!$F$26)^(AB$4-1)</f>
        <v>1.2544</v>
      </c>
      <c r="AC8" s="26" t="n">
        <f aca="false">(1+Assumptions!$F$26)^(AC$4-1)</f>
        <v>1.2544</v>
      </c>
      <c r="AD8" s="26" t="n">
        <f aca="false">(1+Assumptions!$F$26)^(AD$4-1)</f>
        <v>1.2544</v>
      </c>
      <c r="AE8" s="26" t="n">
        <f aca="false">(1+Assumptions!$F$26)^(AE$4-1)</f>
        <v>1.2544</v>
      </c>
      <c r="AF8" s="26" t="n">
        <f aca="false">(1+Assumptions!$F$26)^(AF$4-1)</f>
        <v>1.2544</v>
      </c>
      <c r="AG8" s="26" t="n">
        <f aca="false">(1+Assumptions!$F$26)^(AG$4-1)</f>
        <v>1.2544</v>
      </c>
      <c r="AH8" s="26" t="n">
        <f aca="false">(1+Assumptions!$F$26)^(AH$4-1)</f>
        <v>1.2544</v>
      </c>
      <c r="AI8" s="26" t="n">
        <f aca="false">(1+Assumptions!$F$26)^(AI$4-1)</f>
        <v>1.2544</v>
      </c>
      <c r="AJ8" s="26" t="n">
        <f aca="false">(1+Assumptions!$F$26)^(AJ$4-1)</f>
        <v>1.2544</v>
      </c>
      <c r="AK8" s="26" t="n">
        <f aca="false">(1+Assumptions!$F$26)^(AK$4-1)</f>
        <v>1.2544</v>
      </c>
      <c r="AL8" s="26" t="n">
        <f aca="false">(1+Assumptions!$F$26)^(AL$4-1)</f>
        <v>1.2544</v>
      </c>
      <c r="AM8" s="26" t="n">
        <f aca="false">(1+Assumptions!$F$26)^(AM$4-1)</f>
        <v>1.404928</v>
      </c>
      <c r="AN8" s="26" t="n">
        <f aca="false">(1+Assumptions!$F$26)^(AN$4-1)</f>
        <v>1.404928</v>
      </c>
      <c r="AO8" s="26" t="n">
        <f aca="false">(1+Assumptions!$F$26)^(AO$4-1)</f>
        <v>1.404928</v>
      </c>
      <c r="AP8" s="26" t="n">
        <f aca="false">(1+Assumptions!$F$26)^(AP$4-1)</f>
        <v>1.404928</v>
      </c>
      <c r="AQ8" s="26" t="n">
        <f aca="false">(1+Assumptions!$F$26)^(AQ$4-1)</f>
        <v>1.404928</v>
      </c>
      <c r="AR8" s="26" t="n">
        <f aca="false">(1+Assumptions!$F$26)^(AR$4-1)</f>
        <v>1.404928</v>
      </c>
      <c r="AS8" s="26" t="n">
        <f aca="false">(1+Assumptions!$F$26)^(AS$4-1)</f>
        <v>1.404928</v>
      </c>
      <c r="AT8" s="26" t="n">
        <f aca="false">(1+Assumptions!$F$26)^(AT$4-1)</f>
        <v>1.404928</v>
      </c>
      <c r="AU8" s="26" t="n">
        <f aca="false">(1+Assumptions!$F$26)^(AU$4-1)</f>
        <v>1.404928</v>
      </c>
      <c r="AV8" s="26" t="n">
        <f aca="false">(1+Assumptions!$F$26)^(AV$4-1)</f>
        <v>1.404928</v>
      </c>
      <c r="AW8" s="26" t="n">
        <f aca="false">(1+Assumptions!$F$26)^(AW$4-1)</f>
        <v>1.404928</v>
      </c>
      <c r="AX8" s="26" t="n">
        <f aca="false">(1+Assumptions!$F$26)^(AX$4-1)</f>
        <v>1.404928</v>
      </c>
      <c r="AY8" s="26" t="n">
        <f aca="false">(1+Assumptions!$F$26)^(AY$4-1)</f>
        <v>1.57351936</v>
      </c>
      <c r="AZ8" s="26" t="n">
        <f aca="false">(1+Assumptions!$F$26)^(AZ$4-1)</f>
        <v>1.57351936</v>
      </c>
      <c r="BA8" s="26" t="n">
        <f aca="false">(1+Assumptions!$F$26)^(BA$4-1)</f>
        <v>1.57351936</v>
      </c>
      <c r="BB8" s="26" t="n">
        <f aca="false">(1+Assumptions!$F$26)^(BB$4-1)</f>
        <v>1.57351936</v>
      </c>
      <c r="BC8" s="26" t="n">
        <f aca="false">(1+Assumptions!$F$26)^(BC$4-1)</f>
        <v>1.57351936</v>
      </c>
      <c r="BD8" s="26" t="n">
        <f aca="false">(1+Assumptions!$F$26)^(BD$4-1)</f>
        <v>1.57351936</v>
      </c>
      <c r="BE8" s="26" t="n">
        <f aca="false">(1+Assumptions!$F$26)^(BE$4-1)</f>
        <v>1.57351936</v>
      </c>
      <c r="BF8" s="26" t="n">
        <f aca="false">(1+Assumptions!$F$26)^(BF$4-1)</f>
        <v>1.57351936</v>
      </c>
      <c r="BG8" s="26" t="n">
        <f aca="false">(1+Assumptions!$F$26)^(BG$4-1)</f>
        <v>1.57351936</v>
      </c>
      <c r="BH8" s="26" t="n">
        <f aca="false">(1+Assumptions!$F$26)^(BH$4-1)</f>
        <v>1.57351936</v>
      </c>
      <c r="BI8" s="26" t="n">
        <f aca="false">(1+Assumptions!$F$26)^(BI$4-1)</f>
        <v>1.57351936</v>
      </c>
      <c r="BJ8" s="26" t="n">
        <f aca="false">(1+Assumptions!$F$26)^(BJ$4-1)</f>
        <v>1.57351936</v>
      </c>
    </row>
    <row r="9" customFormat="false" ht="15" hidden="false" customHeight="false" outlineLevel="0" collapsed="false">
      <c r="A9" s="15" t="s">
        <v>152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</row>
    <row r="10" customFormat="false" ht="15" hidden="false" customHeight="false" outlineLevel="0" collapsed="false">
      <c r="A10" s="4" t="s">
        <v>153</v>
      </c>
      <c r="B10" s="4"/>
      <c r="C10" s="27" t="n">
        <f aca="false">IF(AND(C$3&gt;=Assumptions!$F$8,MOD(C$3-Assumptions!$F$8,Assumptions!$F$9)=0),1,0)</f>
        <v>0</v>
      </c>
      <c r="D10" s="27" t="n">
        <f aca="false">IF(AND(D$3&gt;=Assumptions!$F$8,MOD(D$3-Assumptions!$F$8,Assumptions!$F$9)=0),1,0)</f>
        <v>0</v>
      </c>
      <c r="E10" s="27" t="n">
        <f aca="false">IF(AND(E$3&gt;=Assumptions!$F$8,MOD(E$3-Assumptions!$F$8,Assumptions!$F$9)=0),1,0)</f>
        <v>0</v>
      </c>
      <c r="F10" s="27" t="n">
        <f aca="false">IF(AND(F$3&gt;=Assumptions!$F$8,MOD(F$3-Assumptions!$F$8,Assumptions!$F$9)=0),1,0)</f>
        <v>0</v>
      </c>
      <c r="G10" s="27" t="n">
        <f aca="false">IF(AND(G$3&gt;=Assumptions!$F$8,MOD(G$3-Assumptions!$F$8,Assumptions!$F$9)=0),1,0)</f>
        <v>1</v>
      </c>
      <c r="H10" s="27" t="n">
        <f aca="false">IF(AND(H$3&gt;=Assumptions!$F$8,MOD(H$3-Assumptions!$F$8,Assumptions!$F$9)=0),1,0)</f>
        <v>0</v>
      </c>
      <c r="I10" s="27" t="n">
        <f aca="false">IF(AND(I$3&gt;=Assumptions!$F$8,MOD(I$3-Assumptions!$F$8,Assumptions!$F$9)=0),1,0)</f>
        <v>0</v>
      </c>
      <c r="J10" s="27" t="n">
        <f aca="false">IF(AND(J$3&gt;=Assumptions!$F$8,MOD(J$3-Assumptions!$F$8,Assumptions!$F$9)=0),1,0)</f>
        <v>1</v>
      </c>
      <c r="K10" s="27" t="n">
        <f aca="false">IF(AND(K$3&gt;=Assumptions!$F$8,MOD(K$3-Assumptions!$F$8,Assumptions!$F$9)=0),1,0)</f>
        <v>0</v>
      </c>
      <c r="L10" s="27" t="n">
        <f aca="false">IF(AND(L$3&gt;=Assumptions!$F$8,MOD(L$3-Assumptions!$F$8,Assumptions!$F$9)=0),1,0)</f>
        <v>0</v>
      </c>
      <c r="M10" s="27" t="n">
        <f aca="false">IF(AND(M$3&gt;=Assumptions!$F$8,MOD(M$3-Assumptions!$F$8,Assumptions!$F$9)=0),1,0)</f>
        <v>1</v>
      </c>
      <c r="N10" s="27" t="n">
        <f aca="false">IF(AND(N$3&gt;=Assumptions!$F$8,MOD(N$3-Assumptions!$F$8,Assumptions!$F$9)=0),1,0)</f>
        <v>0</v>
      </c>
      <c r="O10" s="27" t="n">
        <f aca="false">IF(AND(O$3&gt;=Assumptions!$F$8,MOD(O$3-Assumptions!$F$8,Assumptions!$F$9)=0),1,0)</f>
        <v>0</v>
      </c>
      <c r="P10" s="27" t="n">
        <f aca="false">IF(AND(P$3&gt;=Assumptions!$F$8,MOD(P$3-Assumptions!$F$8,Assumptions!$F$9)=0),1,0)</f>
        <v>1</v>
      </c>
      <c r="Q10" s="27" t="n">
        <f aca="false">IF(AND(Q$3&gt;=Assumptions!$F$8,MOD(Q$3-Assumptions!$F$8,Assumptions!$F$9)=0),1,0)</f>
        <v>0</v>
      </c>
      <c r="R10" s="27" t="n">
        <f aca="false">IF(AND(R$3&gt;=Assumptions!$F$8,MOD(R$3-Assumptions!$F$8,Assumptions!$F$9)=0),1,0)</f>
        <v>0</v>
      </c>
      <c r="S10" s="27" t="n">
        <f aca="false">IF(AND(S$3&gt;=Assumptions!$F$8,MOD(S$3-Assumptions!$F$8,Assumptions!$F$9)=0),1,0)</f>
        <v>1</v>
      </c>
      <c r="T10" s="27" t="n">
        <f aca="false">IF(AND(T$3&gt;=Assumptions!$F$8,MOD(T$3-Assumptions!$F$8,Assumptions!$F$9)=0),1,0)</f>
        <v>0</v>
      </c>
      <c r="U10" s="27" t="n">
        <f aca="false">IF(AND(U$3&gt;=Assumptions!$F$8,MOD(U$3-Assumptions!$F$8,Assumptions!$F$9)=0),1,0)</f>
        <v>0</v>
      </c>
      <c r="V10" s="27" t="n">
        <f aca="false">IF(AND(V$3&gt;=Assumptions!$F$8,MOD(V$3-Assumptions!$F$8,Assumptions!$F$9)=0),1,0)</f>
        <v>1</v>
      </c>
      <c r="W10" s="27" t="n">
        <f aca="false">IF(AND(W$3&gt;=Assumptions!$F$8,MOD(W$3-Assumptions!$F$8,Assumptions!$F$9)=0),1,0)</f>
        <v>0</v>
      </c>
      <c r="X10" s="27" t="n">
        <f aca="false">IF(AND(X$3&gt;=Assumptions!$F$8,MOD(X$3-Assumptions!$F$8,Assumptions!$F$9)=0),1,0)</f>
        <v>0</v>
      </c>
      <c r="Y10" s="27" t="n">
        <f aca="false">IF(AND(Y$3&gt;=Assumptions!$F$8,MOD(Y$3-Assumptions!$F$8,Assumptions!$F$9)=0),1,0)</f>
        <v>1</v>
      </c>
      <c r="Z10" s="27" t="n">
        <f aca="false">IF(AND(Z$3&gt;=Assumptions!$F$8,MOD(Z$3-Assumptions!$F$8,Assumptions!$F$9)=0),1,0)</f>
        <v>0</v>
      </c>
      <c r="AA10" s="27" t="n">
        <f aca="false">IF(AND(AA$3&gt;=Assumptions!$F$8,MOD(AA$3-Assumptions!$F$8,Assumptions!$F$9)=0),1,0)</f>
        <v>0</v>
      </c>
      <c r="AB10" s="27" t="n">
        <f aca="false">IF(AND(AB$3&gt;=Assumptions!$F$8,MOD(AB$3-Assumptions!$F$8,Assumptions!$F$9)=0),1,0)</f>
        <v>1</v>
      </c>
      <c r="AC10" s="27" t="n">
        <f aca="false">IF(AND(AC$3&gt;=Assumptions!$F$8,MOD(AC$3-Assumptions!$F$8,Assumptions!$F$9)=0),1,0)</f>
        <v>0</v>
      </c>
      <c r="AD10" s="27" t="n">
        <f aca="false">IF(AND(AD$3&gt;=Assumptions!$F$8,MOD(AD$3-Assumptions!$F$8,Assumptions!$F$9)=0),1,0)</f>
        <v>0</v>
      </c>
      <c r="AE10" s="27" t="n">
        <f aca="false">IF(AND(AE$3&gt;=Assumptions!$F$8,MOD(AE$3-Assumptions!$F$8,Assumptions!$F$9)=0),1,0)</f>
        <v>1</v>
      </c>
      <c r="AF10" s="27" t="n">
        <f aca="false">IF(AND(AF$3&gt;=Assumptions!$F$8,MOD(AF$3-Assumptions!$F$8,Assumptions!$F$9)=0),1,0)</f>
        <v>0</v>
      </c>
      <c r="AG10" s="27" t="n">
        <f aca="false">IF(AND(AG$3&gt;=Assumptions!$F$8,MOD(AG$3-Assumptions!$F$8,Assumptions!$F$9)=0),1,0)</f>
        <v>0</v>
      </c>
      <c r="AH10" s="27" t="n">
        <f aca="false">IF(AND(AH$3&gt;=Assumptions!$F$8,MOD(AH$3-Assumptions!$F$8,Assumptions!$F$9)=0),1,0)</f>
        <v>1</v>
      </c>
      <c r="AI10" s="27" t="n">
        <f aca="false">IF(AND(AI$3&gt;=Assumptions!$F$8,MOD(AI$3-Assumptions!$F$8,Assumptions!$F$9)=0),1,0)</f>
        <v>0</v>
      </c>
      <c r="AJ10" s="27" t="n">
        <f aca="false">IF(AND(AJ$3&gt;=Assumptions!$F$8,MOD(AJ$3-Assumptions!$F$8,Assumptions!$F$9)=0),1,0)</f>
        <v>0</v>
      </c>
      <c r="AK10" s="27" t="n">
        <f aca="false">IF(AND(AK$3&gt;=Assumptions!$F$8,MOD(AK$3-Assumptions!$F$8,Assumptions!$F$9)=0),1,0)</f>
        <v>1</v>
      </c>
      <c r="AL10" s="27" t="n">
        <f aca="false">IF(AND(AL$3&gt;=Assumptions!$F$8,MOD(AL$3-Assumptions!$F$8,Assumptions!$F$9)=0),1,0)</f>
        <v>0</v>
      </c>
      <c r="AM10" s="27" t="n">
        <f aca="false">IF(AND(AM$3&gt;=Assumptions!$F$8,MOD(AM$3-Assumptions!$F$8,Assumptions!$F$9)=0),1,0)</f>
        <v>0</v>
      </c>
      <c r="AN10" s="27" t="n">
        <f aca="false">IF(AND(AN$3&gt;=Assumptions!$F$8,MOD(AN$3-Assumptions!$F$8,Assumptions!$F$9)=0),1,0)</f>
        <v>1</v>
      </c>
      <c r="AO10" s="27" t="n">
        <f aca="false">IF(AND(AO$3&gt;=Assumptions!$F$8,MOD(AO$3-Assumptions!$F$8,Assumptions!$F$9)=0),1,0)</f>
        <v>0</v>
      </c>
      <c r="AP10" s="27" t="n">
        <f aca="false">IF(AND(AP$3&gt;=Assumptions!$F$8,MOD(AP$3-Assumptions!$F$8,Assumptions!$F$9)=0),1,0)</f>
        <v>0</v>
      </c>
      <c r="AQ10" s="27" t="n">
        <f aca="false">IF(AND(AQ$3&gt;=Assumptions!$F$8,MOD(AQ$3-Assumptions!$F$8,Assumptions!$F$9)=0),1,0)</f>
        <v>1</v>
      </c>
      <c r="AR10" s="27" t="n">
        <f aca="false">IF(AND(AR$3&gt;=Assumptions!$F$8,MOD(AR$3-Assumptions!$F$8,Assumptions!$F$9)=0),1,0)</f>
        <v>0</v>
      </c>
      <c r="AS10" s="27" t="n">
        <f aca="false">IF(AND(AS$3&gt;=Assumptions!$F$8,MOD(AS$3-Assumptions!$F$8,Assumptions!$F$9)=0),1,0)</f>
        <v>0</v>
      </c>
      <c r="AT10" s="27" t="n">
        <f aca="false">IF(AND(AT$3&gt;=Assumptions!$F$8,MOD(AT$3-Assumptions!$F$8,Assumptions!$F$9)=0),1,0)</f>
        <v>1</v>
      </c>
      <c r="AU10" s="27" t="n">
        <f aca="false">IF(AND(AU$3&gt;=Assumptions!$F$8,MOD(AU$3-Assumptions!$F$8,Assumptions!$F$9)=0),1,0)</f>
        <v>0</v>
      </c>
      <c r="AV10" s="27" t="n">
        <f aca="false">IF(AND(AV$3&gt;=Assumptions!$F$8,MOD(AV$3-Assumptions!$F$8,Assumptions!$F$9)=0),1,0)</f>
        <v>0</v>
      </c>
      <c r="AW10" s="27" t="n">
        <f aca="false">IF(AND(AW$3&gt;=Assumptions!$F$8,MOD(AW$3-Assumptions!$F$8,Assumptions!$F$9)=0),1,0)</f>
        <v>1</v>
      </c>
      <c r="AX10" s="27" t="n">
        <f aca="false">IF(AND(AX$3&gt;=Assumptions!$F$8,MOD(AX$3-Assumptions!$F$8,Assumptions!$F$9)=0),1,0)</f>
        <v>0</v>
      </c>
      <c r="AY10" s="27" t="n">
        <f aca="false">IF(AND(AY$3&gt;=Assumptions!$F$8,MOD(AY$3-Assumptions!$F$8,Assumptions!$F$9)=0),1,0)</f>
        <v>0</v>
      </c>
      <c r="AZ10" s="27" t="n">
        <f aca="false">IF(AND(AZ$3&gt;=Assumptions!$F$8,MOD(AZ$3-Assumptions!$F$8,Assumptions!$F$9)=0),1,0)</f>
        <v>1</v>
      </c>
      <c r="BA10" s="27" t="n">
        <f aca="false">IF(AND(BA$3&gt;=Assumptions!$F$8,MOD(BA$3-Assumptions!$F$8,Assumptions!$F$9)=0),1,0)</f>
        <v>0</v>
      </c>
      <c r="BB10" s="27" t="n">
        <f aca="false">IF(AND(BB$3&gt;=Assumptions!$F$8,MOD(BB$3-Assumptions!$F$8,Assumptions!$F$9)=0),1,0)</f>
        <v>0</v>
      </c>
      <c r="BC10" s="27" t="n">
        <f aca="false">IF(AND(BC$3&gt;=Assumptions!$F$8,MOD(BC$3-Assumptions!$F$8,Assumptions!$F$9)=0),1,0)</f>
        <v>1</v>
      </c>
      <c r="BD10" s="27" t="n">
        <f aca="false">IF(AND(BD$3&gt;=Assumptions!$F$8,MOD(BD$3-Assumptions!$F$8,Assumptions!$F$9)=0),1,0)</f>
        <v>0</v>
      </c>
      <c r="BE10" s="27" t="n">
        <f aca="false">IF(AND(BE$3&gt;=Assumptions!$F$8,MOD(BE$3-Assumptions!$F$8,Assumptions!$F$9)=0),1,0)</f>
        <v>0</v>
      </c>
      <c r="BF10" s="27" t="n">
        <f aca="false">IF(AND(BF$3&gt;=Assumptions!$F$8,MOD(BF$3-Assumptions!$F$8,Assumptions!$F$9)=0),1,0)</f>
        <v>1</v>
      </c>
      <c r="BG10" s="27" t="n">
        <f aca="false">IF(AND(BG$3&gt;=Assumptions!$F$8,MOD(BG$3-Assumptions!$F$8,Assumptions!$F$9)=0),1,0)</f>
        <v>0</v>
      </c>
      <c r="BH10" s="27" t="n">
        <f aca="false">IF(AND(BH$3&gt;=Assumptions!$F$8,MOD(BH$3-Assumptions!$F$8,Assumptions!$F$9)=0),1,0)</f>
        <v>0</v>
      </c>
      <c r="BI10" s="27" t="n">
        <f aca="false">IF(AND(BI$3&gt;=Assumptions!$F$8,MOD(BI$3-Assumptions!$F$8,Assumptions!$F$9)=0),1,0)</f>
        <v>1</v>
      </c>
      <c r="BJ10" s="27" t="n">
        <f aca="false">IF(AND(BJ$3&gt;=Assumptions!$F$8,MOD(BJ$3-Assumptions!$F$8,Assumptions!$F$9)=0),1,0)</f>
        <v>0</v>
      </c>
    </row>
    <row r="11" customFormat="false" ht="15" hidden="false" customHeight="false" outlineLevel="0" collapsed="false">
      <c r="A11" s="4" t="s">
        <v>154</v>
      </c>
      <c r="B11" s="4" t="s">
        <v>52</v>
      </c>
      <c r="C11" s="28" t="n">
        <f aca="false">C10*Assumptions!$F$12</f>
        <v>0</v>
      </c>
      <c r="D11" s="28" t="n">
        <f aca="false">D10*Assumptions!$F$12</f>
        <v>0</v>
      </c>
      <c r="E11" s="28" t="n">
        <f aca="false">E10*Assumptions!$F$12</f>
        <v>0</v>
      </c>
      <c r="F11" s="28" t="n">
        <f aca="false">F10*Assumptions!$F$12</f>
        <v>0</v>
      </c>
      <c r="G11" s="28" t="n">
        <f aca="false">G10*Assumptions!$F$12</f>
        <v>500</v>
      </c>
      <c r="H11" s="28" t="n">
        <f aca="false">H10*Assumptions!$F$12</f>
        <v>0</v>
      </c>
      <c r="I11" s="28" t="n">
        <f aca="false">I10*Assumptions!$F$12</f>
        <v>0</v>
      </c>
      <c r="J11" s="28" t="n">
        <f aca="false">J10*Assumptions!$F$12</f>
        <v>500</v>
      </c>
      <c r="K11" s="28" t="n">
        <f aca="false">K10*Assumptions!$F$12</f>
        <v>0</v>
      </c>
      <c r="L11" s="28" t="n">
        <f aca="false">L10*Assumptions!$F$12</f>
        <v>0</v>
      </c>
      <c r="M11" s="28" t="n">
        <f aca="false">M10*Assumptions!$F$12</f>
        <v>500</v>
      </c>
      <c r="N11" s="28" t="n">
        <f aca="false">N10*Assumptions!$F$12</f>
        <v>0</v>
      </c>
      <c r="O11" s="28" t="n">
        <f aca="false">O10*Assumptions!$F$12</f>
        <v>0</v>
      </c>
      <c r="P11" s="28" t="n">
        <f aca="false">P10*Assumptions!$F$12</f>
        <v>500</v>
      </c>
      <c r="Q11" s="28" t="n">
        <f aca="false">Q10*Assumptions!$F$12</f>
        <v>0</v>
      </c>
      <c r="R11" s="28" t="n">
        <f aca="false">R10*Assumptions!$F$12</f>
        <v>0</v>
      </c>
      <c r="S11" s="28" t="n">
        <f aca="false">S10*Assumptions!$F$12</f>
        <v>500</v>
      </c>
      <c r="T11" s="28" t="n">
        <f aca="false">T10*Assumptions!$F$12</f>
        <v>0</v>
      </c>
      <c r="U11" s="28" t="n">
        <f aca="false">U10*Assumptions!$F$12</f>
        <v>0</v>
      </c>
      <c r="V11" s="28" t="n">
        <f aca="false">V10*Assumptions!$F$12</f>
        <v>500</v>
      </c>
      <c r="W11" s="28" t="n">
        <f aca="false">W10*Assumptions!$F$12</f>
        <v>0</v>
      </c>
      <c r="X11" s="28" t="n">
        <f aca="false">X10*Assumptions!$F$12</f>
        <v>0</v>
      </c>
      <c r="Y11" s="28" t="n">
        <f aca="false">Y10*Assumptions!$F$12</f>
        <v>500</v>
      </c>
      <c r="Z11" s="28" t="n">
        <f aca="false">Z10*Assumptions!$F$12</f>
        <v>0</v>
      </c>
      <c r="AA11" s="28" t="n">
        <f aca="false">AA10*Assumptions!$F$12</f>
        <v>0</v>
      </c>
      <c r="AB11" s="28" t="n">
        <f aca="false">AB10*Assumptions!$F$12</f>
        <v>500</v>
      </c>
      <c r="AC11" s="28" t="n">
        <f aca="false">AC10*Assumptions!$F$12</f>
        <v>0</v>
      </c>
      <c r="AD11" s="28" t="n">
        <f aca="false">AD10*Assumptions!$F$12</f>
        <v>0</v>
      </c>
      <c r="AE11" s="28" t="n">
        <f aca="false">AE10*Assumptions!$F$12</f>
        <v>500</v>
      </c>
      <c r="AF11" s="28" t="n">
        <f aca="false">AF10*Assumptions!$F$12</f>
        <v>0</v>
      </c>
      <c r="AG11" s="28" t="n">
        <f aca="false">AG10*Assumptions!$F$12</f>
        <v>0</v>
      </c>
      <c r="AH11" s="28" t="n">
        <f aca="false">AH10*Assumptions!$F$12</f>
        <v>500</v>
      </c>
      <c r="AI11" s="28" t="n">
        <f aca="false">AI10*Assumptions!$F$12</f>
        <v>0</v>
      </c>
      <c r="AJ11" s="28" t="n">
        <f aca="false">AJ10*Assumptions!$F$12</f>
        <v>0</v>
      </c>
      <c r="AK11" s="28" t="n">
        <f aca="false">AK10*Assumptions!$F$12</f>
        <v>500</v>
      </c>
      <c r="AL11" s="28" t="n">
        <f aca="false">AL10*Assumptions!$F$12</f>
        <v>0</v>
      </c>
      <c r="AM11" s="28" t="n">
        <f aca="false">AM10*Assumptions!$F$12</f>
        <v>0</v>
      </c>
      <c r="AN11" s="28" t="n">
        <f aca="false">AN10*Assumptions!$F$12</f>
        <v>500</v>
      </c>
      <c r="AO11" s="28" t="n">
        <f aca="false">AO10*Assumptions!$F$12</f>
        <v>0</v>
      </c>
      <c r="AP11" s="28" t="n">
        <f aca="false">AP10*Assumptions!$F$12</f>
        <v>0</v>
      </c>
      <c r="AQ11" s="28" t="n">
        <f aca="false">AQ10*Assumptions!$F$12</f>
        <v>500</v>
      </c>
      <c r="AR11" s="28" t="n">
        <f aca="false">AR10*Assumptions!$F$12</f>
        <v>0</v>
      </c>
      <c r="AS11" s="28" t="n">
        <f aca="false">AS10*Assumptions!$F$12</f>
        <v>0</v>
      </c>
      <c r="AT11" s="28" t="n">
        <f aca="false">AT10*Assumptions!$F$12</f>
        <v>500</v>
      </c>
      <c r="AU11" s="28" t="n">
        <f aca="false">AU10*Assumptions!$F$12</f>
        <v>0</v>
      </c>
      <c r="AV11" s="28" t="n">
        <f aca="false">AV10*Assumptions!$F$12</f>
        <v>0</v>
      </c>
      <c r="AW11" s="28" t="n">
        <f aca="false">AW10*Assumptions!$F$12</f>
        <v>500</v>
      </c>
      <c r="AX11" s="28" t="n">
        <f aca="false">AX10*Assumptions!$F$12</f>
        <v>0</v>
      </c>
      <c r="AY11" s="28" t="n">
        <f aca="false">AY10*Assumptions!$F$12</f>
        <v>0</v>
      </c>
      <c r="AZ11" s="28" t="n">
        <f aca="false">AZ10*Assumptions!$F$12</f>
        <v>500</v>
      </c>
      <c r="BA11" s="28" t="n">
        <f aca="false">BA10*Assumptions!$F$12</f>
        <v>0</v>
      </c>
      <c r="BB11" s="28" t="n">
        <f aca="false">BB10*Assumptions!$F$12</f>
        <v>0</v>
      </c>
      <c r="BC11" s="28" t="n">
        <f aca="false">BC10*Assumptions!$F$12</f>
        <v>500</v>
      </c>
      <c r="BD11" s="28" t="n">
        <f aca="false">BD10*Assumptions!$F$12</f>
        <v>0</v>
      </c>
      <c r="BE11" s="28" t="n">
        <f aca="false">BE10*Assumptions!$F$12</f>
        <v>0</v>
      </c>
      <c r="BF11" s="28" t="n">
        <f aca="false">BF10*Assumptions!$F$12</f>
        <v>500</v>
      </c>
      <c r="BG11" s="28" t="n">
        <f aca="false">BG10*Assumptions!$F$12</f>
        <v>0</v>
      </c>
      <c r="BH11" s="28" t="n">
        <f aca="false">BH10*Assumptions!$F$12</f>
        <v>0</v>
      </c>
      <c r="BI11" s="28" t="n">
        <f aca="false">BI10*Assumptions!$F$12</f>
        <v>500</v>
      </c>
      <c r="BJ11" s="28" t="n">
        <f aca="false">BJ10*Assumptions!$F$12</f>
        <v>0</v>
      </c>
    </row>
    <row r="12" customFormat="false" ht="15" hidden="false" customHeight="false" outlineLevel="0" collapsed="false">
      <c r="A12" s="4" t="s">
        <v>155</v>
      </c>
      <c r="B12" s="4" t="s">
        <v>52</v>
      </c>
      <c r="C12" s="28" t="n">
        <f aca="false">0</f>
        <v>0</v>
      </c>
      <c r="D12" s="28" t="n">
        <f aca="false">C11*(1-Assumptions!$F$13)</f>
        <v>0</v>
      </c>
      <c r="E12" s="28" t="n">
        <f aca="false">D11*(1-Assumptions!$F$13)</f>
        <v>0</v>
      </c>
      <c r="F12" s="28" t="n">
        <f aca="false">E11*(1-Assumptions!$F$13)</f>
        <v>0</v>
      </c>
      <c r="G12" s="28" t="n">
        <f aca="false">F11*(1-Assumptions!$F$13)</f>
        <v>0</v>
      </c>
      <c r="H12" s="28" t="n">
        <f aca="false">G11*(1-Assumptions!$F$13)</f>
        <v>450</v>
      </c>
      <c r="I12" s="28" t="n">
        <f aca="false">H11*(1-Assumptions!$F$13)</f>
        <v>0</v>
      </c>
      <c r="J12" s="28" t="n">
        <f aca="false">I11*(1-Assumptions!$F$13)</f>
        <v>0</v>
      </c>
      <c r="K12" s="28" t="n">
        <f aca="false">J11*(1-Assumptions!$F$13)</f>
        <v>450</v>
      </c>
      <c r="L12" s="28" t="n">
        <f aca="false">K11*(1-Assumptions!$F$13)</f>
        <v>0</v>
      </c>
      <c r="M12" s="28" t="n">
        <f aca="false">L11*(1-Assumptions!$F$13)</f>
        <v>0</v>
      </c>
      <c r="N12" s="28" t="n">
        <f aca="false">M11*(1-Assumptions!$F$13)</f>
        <v>450</v>
      </c>
      <c r="O12" s="28" t="n">
        <f aca="false">N11*(1-Assumptions!$F$13)</f>
        <v>0</v>
      </c>
      <c r="P12" s="28" t="n">
        <f aca="false">O11*(1-Assumptions!$F$13)</f>
        <v>0</v>
      </c>
      <c r="Q12" s="28" t="n">
        <f aca="false">P11*(1-Assumptions!$F$13)</f>
        <v>450</v>
      </c>
      <c r="R12" s="28" t="n">
        <f aca="false">Q11*(1-Assumptions!$F$13)</f>
        <v>0</v>
      </c>
      <c r="S12" s="28" t="n">
        <f aca="false">R11*(1-Assumptions!$F$13)</f>
        <v>0</v>
      </c>
      <c r="T12" s="28" t="n">
        <f aca="false">S11*(1-Assumptions!$F$13)</f>
        <v>450</v>
      </c>
      <c r="U12" s="28" t="n">
        <f aca="false">T11*(1-Assumptions!$F$13)</f>
        <v>0</v>
      </c>
      <c r="V12" s="28" t="n">
        <f aca="false">U11*(1-Assumptions!$F$13)</f>
        <v>0</v>
      </c>
      <c r="W12" s="28" t="n">
        <f aca="false">V11*(1-Assumptions!$F$13)</f>
        <v>450</v>
      </c>
      <c r="X12" s="28" t="n">
        <f aca="false">W11*(1-Assumptions!$F$13)</f>
        <v>0</v>
      </c>
      <c r="Y12" s="28" t="n">
        <f aca="false">X11*(1-Assumptions!$F$13)</f>
        <v>0</v>
      </c>
      <c r="Z12" s="28" t="n">
        <f aca="false">Y11*(1-Assumptions!$F$13)</f>
        <v>450</v>
      </c>
      <c r="AA12" s="28" t="n">
        <f aca="false">Z11*(1-Assumptions!$F$13)</f>
        <v>0</v>
      </c>
      <c r="AB12" s="28" t="n">
        <f aca="false">AA11*(1-Assumptions!$F$13)</f>
        <v>0</v>
      </c>
      <c r="AC12" s="28" t="n">
        <f aca="false">AB11*(1-Assumptions!$F$13)</f>
        <v>450</v>
      </c>
      <c r="AD12" s="28" t="n">
        <f aca="false">AC11*(1-Assumptions!$F$13)</f>
        <v>0</v>
      </c>
      <c r="AE12" s="28" t="n">
        <f aca="false">AD11*(1-Assumptions!$F$13)</f>
        <v>0</v>
      </c>
      <c r="AF12" s="28" t="n">
        <f aca="false">AE11*(1-Assumptions!$F$13)</f>
        <v>450</v>
      </c>
      <c r="AG12" s="28" t="n">
        <f aca="false">AF11*(1-Assumptions!$F$13)</f>
        <v>0</v>
      </c>
      <c r="AH12" s="28" t="n">
        <f aca="false">AG11*(1-Assumptions!$F$13)</f>
        <v>0</v>
      </c>
      <c r="AI12" s="28" t="n">
        <f aca="false">AH11*(1-Assumptions!$F$13)</f>
        <v>450</v>
      </c>
      <c r="AJ12" s="28" t="n">
        <f aca="false">AI11*(1-Assumptions!$F$13)</f>
        <v>0</v>
      </c>
      <c r="AK12" s="28" t="n">
        <f aca="false">AJ11*(1-Assumptions!$F$13)</f>
        <v>0</v>
      </c>
      <c r="AL12" s="28" t="n">
        <f aca="false">AK11*(1-Assumptions!$F$13)</f>
        <v>450</v>
      </c>
      <c r="AM12" s="28" t="n">
        <f aca="false">AL11*(1-Assumptions!$F$13)</f>
        <v>0</v>
      </c>
      <c r="AN12" s="28" t="n">
        <f aca="false">AM11*(1-Assumptions!$F$13)</f>
        <v>0</v>
      </c>
      <c r="AO12" s="28" t="n">
        <f aca="false">AN11*(1-Assumptions!$F$13)</f>
        <v>450</v>
      </c>
      <c r="AP12" s="28" t="n">
        <f aca="false">AO11*(1-Assumptions!$F$13)</f>
        <v>0</v>
      </c>
      <c r="AQ12" s="28" t="n">
        <f aca="false">AP11*(1-Assumptions!$F$13)</f>
        <v>0</v>
      </c>
      <c r="AR12" s="28" t="n">
        <f aca="false">AQ11*(1-Assumptions!$F$13)</f>
        <v>450</v>
      </c>
      <c r="AS12" s="28" t="n">
        <f aca="false">AR11*(1-Assumptions!$F$13)</f>
        <v>0</v>
      </c>
      <c r="AT12" s="28" t="n">
        <f aca="false">AS11*(1-Assumptions!$F$13)</f>
        <v>0</v>
      </c>
      <c r="AU12" s="28" t="n">
        <f aca="false">AT11*(1-Assumptions!$F$13)</f>
        <v>450</v>
      </c>
      <c r="AV12" s="28" t="n">
        <f aca="false">AU11*(1-Assumptions!$F$13)</f>
        <v>0</v>
      </c>
      <c r="AW12" s="28" t="n">
        <f aca="false">AV11*(1-Assumptions!$F$13)</f>
        <v>0</v>
      </c>
      <c r="AX12" s="28" t="n">
        <f aca="false">AW11*(1-Assumptions!$F$13)</f>
        <v>450</v>
      </c>
      <c r="AY12" s="28" t="n">
        <f aca="false">AX11*(1-Assumptions!$F$13)</f>
        <v>0</v>
      </c>
      <c r="AZ12" s="28" t="n">
        <f aca="false">AY11*(1-Assumptions!$F$13)</f>
        <v>0</v>
      </c>
      <c r="BA12" s="28" t="n">
        <f aca="false">AZ11*(1-Assumptions!$F$13)</f>
        <v>450</v>
      </c>
      <c r="BB12" s="28" t="n">
        <f aca="false">BA11*(1-Assumptions!$F$13)</f>
        <v>0</v>
      </c>
      <c r="BC12" s="28" t="n">
        <f aca="false">BB11*(1-Assumptions!$F$13)</f>
        <v>0</v>
      </c>
      <c r="BD12" s="28" t="n">
        <f aca="false">BC11*(1-Assumptions!$F$13)</f>
        <v>450</v>
      </c>
      <c r="BE12" s="28" t="n">
        <f aca="false">BD11*(1-Assumptions!$F$13)</f>
        <v>0</v>
      </c>
      <c r="BF12" s="28" t="n">
        <f aca="false">BE11*(1-Assumptions!$F$13)</f>
        <v>0</v>
      </c>
      <c r="BG12" s="28" t="n">
        <f aca="false">BF11*(1-Assumptions!$F$13)</f>
        <v>450</v>
      </c>
      <c r="BH12" s="28" t="n">
        <f aca="false">BG11*(1-Assumptions!$F$13)</f>
        <v>0</v>
      </c>
      <c r="BI12" s="28" t="n">
        <f aca="false">BH11*(1-Assumptions!$F$13)</f>
        <v>0</v>
      </c>
      <c r="BJ12" s="28" t="n">
        <f aca="false">BI11*(1-Assumptions!$F$13)</f>
        <v>450</v>
      </c>
    </row>
    <row r="13" customFormat="false" ht="15" hidden="false" customHeight="false" outlineLevel="0" collapsed="false">
      <c r="A13" s="15" t="s">
        <v>156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</row>
    <row r="14" customFormat="false" ht="15" hidden="false" customHeight="false" outlineLevel="0" collapsed="false">
      <c r="A14" s="4" t="s">
        <v>157</v>
      </c>
      <c r="B14" s="4"/>
      <c r="C14" s="28" t="n">
        <f aca="false">C12*Assumptions!$F$23*C7</f>
        <v>0</v>
      </c>
      <c r="D14" s="28" t="n">
        <f aca="false">D12*Assumptions!$F$23*D7</f>
        <v>0</v>
      </c>
      <c r="E14" s="28" t="n">
        <f aca="false">E12*Assumptions!$F$23*E7</f>
        <v>0</v>
      </c>
      <c r="F14" s="28" t="n">
        <f aca="false">F12*Assumptions!$F$23*F7</f>
        <v>0</v>
      </c>
      <c r="G14" s="28" t="n">
        <f aca="false">G12*Assumptions!$F$23*G7</f>
        <v>0</v>
      </c>
      <c r="H14" s="28" t="n">
        <f aca="false">H12*Assumptions!$F$23*H7</f>
        <v>202500</v>
      </c>
      <c r="I14" s="28" t="n">
        <f aca="false">I12*Assumptions!$F$23*I7</f>
        <v>0</v>
      </c>
      <c r="J14" s="28" t="n">
        <f aca="false">J12*Assumptions!$F$23*J7</f>
        <v>0</v>
      </c>
      <c r="K14" s="28" t="n">
        <f aca="false">K12*Assumptions!$F$23*K7</f>
        <v>202500</v>
      </c>
      <c r="L14" s="28" t="n">
        <f aca="false">L12*Assumptions!$F$23*L7</f>
        <v>0</v>
      </c>
      <c r="M14" s="28" t="n">
        <f aca="false">M12*Assumptions!$F$23*M7</f>
        <v>0</v>
      </c>
      <c r="N14" s="28" t="n">
        <f aca="false">N12*Assumptions!$F$23*N7</f>
        <v>202500</v>
      </c>
      <c r="O14" s="28" t="n">
        <f aca="false">O12*Assumptions!$F$23*O7</f>
        <v>0</v>
      </c>
      <c r="P14" s="28" t="n">
        <f aca="false">P12*Assumptions!$F$23*P7</f>
        <v>0</v>
      </c>
      <c r="Q14" s="28" t="n">
        <f aca="false">Q12*Assumptions!$F$23*Q7</f>
        <v>226800</v>
      </c>
      <c r="R14" s="28" t="n">
        <f aca="false">R12*Assumptions!$F$23*R7</f>
        <v>0</v>
      </c>
      <c r="S14" s="28" t="n">
        <f aca="false">S12*Assumptions!$F$23*S7</f>
        <v>0</v>
      </c>
      <c r="T14" s="28" t="n">
        <f aca="false">T12*Assumptions!$F$23*T7</f>
        <v>226800</v>
      </c>
      <c r="U14" s="28" t="n">
        <f aca="false">U12*Assumptions!$F$23*U7</f>
        <v>0</v>
      </c>
      <c r="V14" s="28" t="n">
        <f aca="false">V12*Assumptions!$F$23*V7</f>
        <v>0</v>
      </c>
      <c r="W14" s="28" t="n">
        <f aca="false">W12*Assumptions!$F$23*W7</f>
        <v>226800</v>
      </c>
      <c r="X14" s="28" t="n">
        <f aca="false">X12*Assumptions!$F$23*X7</f>
        <v>0</v>
      </c>
      <c r="Y14" s="28" t="n">
        <f aca="false">Y12*Assumptions!$F$23*Y7</f>
        <v>0</v>
      </c>
      <c r="Z14" s="28" t="n">
        <f aca="false">Z12*Assumptions!$F$23*Z7</f>
        <v>226800</v>
      </c>
      <c r="AA14" s="28" t="n">
        <f aca="false">AA12*Assumptions!$F$23*AA7</f>
        <v>0</v>
      </c>
      <c r="AB14" s="28" t="n">
        <f aca="false">AB12*Assumptions!$F$23*AB7</f>
        <v>0</v>
      </c>
      <c r="AC14" s="28" t="n">
        <f aca="false">AC12*Assumptions!$F$23*AC7</f>
        <v>254016</v>
      </c>
      <c r="AD14" s="28" t="n">
        <f aca="false">AD12*Assumptions!$F$23*AD7</f>
        <v>0</v>
      </c>
      <c r="AE14" s="28" t="n">
        <f aca="false">AE12*Assumptions!$F$23*AE7</f>
        <v>0</v>
      </c>
      <c r="AF14" s="28" t="n">
        <f aca="false">AF12*Assumptions!$F$23*AF7</f>
        <v>254016</v>
      </c>
      <c r="AG14" s="28" t="n">
        <f aca="false">AG12*Assumptions!$F$23*AG7</f>
        <v>0</v>
      </c>
      <c r="AH14" s="28" t="n">
        <f aca="false">AH12*Assumptions!$F$23*AH7</f>
        <v>0</v>
      </c>
      <c r="AI14" s="28" t="n">
        <f aca="false">AI12*Assumptions!$F$23*AI7</f>
        <v>254016</v>
      </c>
      <c r="AJ14" s="28" t="n">
        <f aca="false">AJ12*Assumptions!$F$23*AJ7</f>
        <v>0</v>
      </c>
      <c r="AK14" s="28" t="n">
        <f aca="false">AK12*Assumptions!$F$23*AK7</f>
        <v>0</v>
      </c>
      <c r="AL14" s="28" t="n">
        <f aca="false">AL12*Assumptions!$F$23*AL7</f>
        <v>254016</v>
      </c>
      <c r="AM14" s="28" t="n">
        <f aca="false">AM12*Assumptions!$F$23*AM7</f>
        <v>0</v>
      </c>
      <c r="AN14" s="28" t="n">
        <f aca="false">AN12*Assumptions!$F$23*AN7</f>
        <v>0</v>
      </c>
      <c r="AO14" s="28" t="n">
        <f aca="false">AO12*Assumptions!$F$23*AO7</f>
        <v>284497.92</v>
      </c>
      <c r="AP14" s="28" t="n">
        <f aca="false">AP12*Assumptions!$F$23*AP7</f>
        <v>0</v>
      </c>
      <c r="AQ14" s="28" t="n">
        <f aca="false">AQ12*Assumptions!$F$23*AQ7</f>
        <v>0</v>
      </c>
      <c r="AR14" s="28" t="n">
        <f aca="false">AR12*Assumptions!$F$23*AR7</f>
        <v>284497.92</v>
      </c>
      <c r="AS14" s="28" t="n">
        <f aca="false">AS12*Assumptions!$F$23*AS7</f>
        <v>0</v>
      </c>
      <c r="AT14" s="28" t="n">
        <f aca="false">AT12*Assumptions!$F$23*AT7</f>
        <v>0</v>
      </c>
      <c r="AU14" s="28" t="n">
        <f aca="false">AU12*Assumptions!$F$23*AU7</f>
        <v>284497.92</v>
      </c>
      <c r="AV14" s="28" t="n">
        <f aca="false">AV12*Assumptions!$F$23*AV7</f>
        <v>0</v>
      </c>
      <c r="AW14" s="28" t="n">
        <f aca="false">AW12*Assumptions!$F$23*AW7</f>
        <v>0</v>
      </c>
      <c r="AX14" s="28" t="n">
        <f aca="false">AX12*Assumptions!$F$23*AX7</f>
        <v>284497.92</v>
      </c>
      <c r="AY14" s="28" t="n">
        <f aca="false">AY12*Assumptions!$F$23*AY7</f>
        <v>0</v>
      </c>
      <c r="AZ14" s="28" t="n">
        <f aca="false">AZ12*Assumptions!$F$23*AZ7</f>
        <v>0</v>
      </c>
      <c r="BA14" s="28" t="n">
        <f aca="false">BA12*Assumptions!$F$23*BA7</f>
        <v>318637.6704</v>
      </c>
      <c r="BB14" s="28" t="n">
        <f aca="false">BB12*Assumptions!$F$23*BB7</f>
        <v>0</v>
      </c>
      <c r="BC14" s="28" t="n">
        <f aca="false">BC12*Assumptions!$F$23*BC7</f>
        <v>0</v>
      </c>
      <c r="BD14" s="28" t="n">
        <f aca="false">BD12*Assumptions!$F$23*BD7</f>
        <v>318637.6704</v>
      </c>
      <c r="BE14" s="28" t="n">
        <f aca="false">BE12*Assumptions!$F$23*BE7</f>
        <v>0</v>
      </c>
      <c r="BF14" s="28" t="n">
        <f aca="false">BF12*Assumptions!$F$23*BF7</f>
        <v>0</v>
      </c>
      <c r="BG14" s="28" t="n">
        <f aca="false">BG12*Assumptions!$F$23*BG7</f>
        <v>318637.6704</v>
      </c>
      <c r="BH14" s="28" t="n">
        <f aca="false">BH12*Assumptions!$F$23*BH7</f>
        <v>0</v>
      </c>
      <c r="BI14" s="28" t="n">
        <f aca="false">BI12*Assumptions!$F$23*BI7</f>
        <v>0</v>
      </c>
      <c r="BJ14" s="28" t="n">
        <f aca="false">BJ12*Assumptions!$F$23*BJ7</f>
        <v>318637.6704</v>
      </c>
    </row>
    <row r="15" customFormat="false" ht="15" hidden="false" customHeight="false" outlineLevel="0" collapsed="false">
      <c r="A15" s="4" t="s">
        <v>158</v>
      </c>
      <c r="B15" s="4"/>
      <c r="C15" s="28" t="n">
        <f aca="false">C14*Assumptions!$F$24</f>
        <v>0</v>
      </c>
      <c r="D15" s="28" t="n">
        <f aca="false">D14*Assumptions!$F$24+C14*(1-Assumptions!$F$24)</f>
        <v>0</v>
      </c>
      <c r="E15" s="28" t="n">
        <f aca="false">E14*Assumptions!$F$24+D14*(1-Assumptions!$F$24)</f>
        <v>0</v>
      </c>
      <c r="F15" s="28" t="n">
        <f aca="false">F14*Assumptions!$F$24+E14*(1-Assumptions!$F$24)</f>
        <v>0</v>
      </c>
      <c r="G15" s="28" t="n">
        <f aca="false">G14*Assumptions!$F$24+F14*(1-Assumptions!$F$24)</f>
        <v>0</v>
      </c>
      <c r="H15" s="28" t="n">
        <f aca="false">H14*Assumptions!$F$24+G14*(1-Assumptions!$F$24)</f>
        <v>121500</v>
      </c>
      <c r="I15" s="28" t="n">
        <f aca="false">I14*Assumptions!$F$24+H14*(1-Assumptions!$F$24)</f>
        <v>81000</v>
      </c>
      <c r="J15" s="28" t="n">
        <f aca="false">J14*Assumptions!$F$24+I14*(1-Assumptions!$F$24)</f>
        <v>0</v>
      </c>
      <c r="K15" s="28" t="n">
        <f aca="false">K14*Assumptions!$F$24+J14*(1-Assumptions!$F$24)</f>
        <v>121500</v>
      </c>
      <c r="L15" s="28" t="n">
        <f aca="false">L14*Assumptions!$F$24+K14*(1-Assumptions!$F$24)</f>
        <v>81000</v>
      </c>
      <c r="M15" s="28" t="n">
        <f aca="false">M14*Assumptions!$F$24+L14*(1-Assumptions!$F$24)</f>
        <v>0</v>
      </c>
      <c r="N15" s="28" t="n">
        <f aca="false">N14*Assumptions!$F$24+M14*(1-Assumptions!$F$24)</f>
        <v>121500</v>
      </c>
      <c r="O15" s="28" t="n">
        <f aca="false">O14*Assumptions!$F$24+N14*(1-Assumptions!$F$24)</f>
        <v>81000</v>
      </c>
      <c r="P15" s="28" t="n">
        <f aca="false">P14*Assumptions!$F$24+O14*(1-Assumptions!$F$24)</f>
        <v>0</v>
      </c>
      <c r="Q15" s="28" t="n">
        <f aca="false">Q14*Assumptions!$F$24+P14*(1-Assumptions!$F$24)</f>
        <v>136080</v>
      </c>
      <c r="R15" s="28" t="n">
        <f aca="false">R14*Assumptions!$F$24+Q14*(1-Assumptions!$F$24)</f>
        <v>90720</v>
      </c>
      <c r="S15" s="28" t="n">
        <f aca="false">S14*Assumptions!$F$24+R14*(1-Assumptions!$F$24)</f>
        <v>0</v>
      </c>
      <c r="T15" s="28" t="n">
        <f aca="false">T14*Assumptions!$F$24+S14*(1-Assumptions!$F$24)</f>
        <v>136080</v>
      </c>
      <c r="U15" s="28" t="n">
        <f aca="false">U14*Assumptions!$F$24+T14*(1-Assumptions!$F$24)</f>
        <v>90720</v>
      </c>
      <c r="V15" s="28" t="n">
        <f aca="false">V14*Assumptions!$F$24+U14*(1-Assumptions!$F$24)</f>
        <v>0</v>
      </c>
      <c r="W15" s="28" t="n">
        <f aca="false">W14*Assumptions!$F$24+V14*(1-Assumptions!$F$24)</f>
        <v>136080</v>
      </c>
      <c r="X15" s="28" t="n">
        <f aca="false">X14*Assumptions!$F$24+W14*(1-Assumptions!$F$24)</f>
        <v>90720</v>
      </c>
      <c r="Y15" s="28" t="n">
        <f aca="false">Y14*Assumptions!$F$24+X14*(1-Assumptions!$F$24)</f>
        <v>0</v>
      </c>
      <c r="Z15" s="28" t="n">
        <f aca="false">Z14*Assumptions!$F$24+Y14*(1-Assumptions!$F$24)</f>
        <v>136080</v>
      </c>
      <c r="AA15" s="28" t="n">
        <f aca="false">AA14*Assumptions!$F$24+Z14*(1-Assumptions!$F$24)</f>
        <v>90720</v>
      </c>
      <c r="AB15" s="28" t="n">
        <f aca="false">AB14*Assumptions!$F$24+AA14*(1-Assumptions!$F$24)</f>
        <v>0</v>
      </c>
      <c r="AC15" s="28" t="n">
        <f aca="false">AC14*Assumptions!$F$24+AB14*(1-Assumptions!$F$24)</f>
        <v>152409.6</v>
      </c>
      <c r="AD15" s="28" t="n">
        <f aca="false">AD14*Assumptions!$F$24+AC14*(1-Assumptions!$F$24)</f>
        <v>101606.4</v>
      </c>
      <c r="AE15" s="28" t="n">
        <f aca="false">AE14*Assumptions!$F$24+AD14*(1-Assumptions!$F$24)</f>
        <v>0</v>
      </c>
      <c r="AF15" s="28" t="n">
        <f aca="false">AF14*Assumptions!$F$24+AE14*(1-Assumptions!$F$24)</f>
        <v>152409.6</v>
      </c>
      <c r="AG15" s="28" t="n">
        <f aca="false">AG14*Assumptions!$F$24+AF14*(1-Assumptions!$F$24)</f>
        <v>101606.4</v>
      </c>
      <c r="AH15" s="28" t="n">
        <f aca="false">AH14*Assumptions!$F$24+AG14*(1-Assumptions!$F$24)</f>
        <v>0</v>
      </c>
      <c r="AI15" s="28" t="n">
        <f aca="false">AI14*Assumptions!$F$24+AH14*(1-Assumptions!$F$24)</f>
        <v>152409.6</v>
      </c>
      <c r="AJ15" s="28" t="n">
        <f aca="false">AJ14*Assumptions!$F$24+AI14*(1-Assumptions!$F$24)</f>
        <v>101606.4</v>
      </c>
      <c r="AK15" s="28" t="n">
        <f aca="false">AK14*Assumptions!$F$24+AJ14*(1-Assumptions!$F$24)</f>
        <v>0</v>
      </c>
      <c r="AL15" s="28" t="n">
        <f aca="false">AL14*Assumptions!$F$24+AK14*(1-Assumptions!$F$24)</f>
        <v>152409.6</v>
      </c>
      <c r="AM15" s="28" t="n">
        <f aca="false">AM14*Assumptions!$F$24+AL14*(1-Assumptions!$F$24)</f>
        <v>101606.4</v>
      </c>
      <c r="AN15" s="28" t="n">
        <f aca="false">AN14*Assumptions!$F$24+AM14*(1-Assumptions!$F$24)</f>
        <v>0</v>
      </c>
      <c r="AO15" s="28" t="n">
        <f aca="false">AO14*Assumptions!$F$24+AN14*(1-Assumptions!$F$24)</f>
        <v>170698.752</v>
      </c>
      <c r="AP15" s="28" t="n">
        <f aca="false">AP14*Assumptions!$F$24+AO14*(1-Assumptions!$F$24)</f>
        <v>113799.168</v>
      </c>
      <c r="AQ15" s="28" t="n">
        <f aca="false">AQ14*Assumptions!$F$24+AP14*(1-Assumptions!$F$24)</f>
        <v>0</v>
      </c>
      <c r="AR15" s="28" t="n">
        <f aca="false">AR14*Assumptions!$F$24+AQ14*(1-Assumptions!$F$24)</f>
        <v>170698.752</v>
      </c>
      <c r="AS15" s="28" t="n">
        <f aca="false">AS14*Assumptions!$F$24+AR14*(1-Assumptions!$F$24)</f>
        <v>113799.168</v>
      </c>
      <c r="AT15" s="28" t="n">
        <f aca="false">AT14*Assumptions!$F$24+AS14*(1-Assumptions!$F$24)</f>
        <v>0</v>
      </c>
      <c r="AU15" s="28" t="n">
        <f aca="false">AU14*Assumptions!$F$24+AT14*(1-Assumptions!$F$24)</f>
        <v>170698.752</v>
      </c>
      <c r="AV15" s="28" t="n">
        <f aca="false">AV14*Assumptions!$F$24+AU14*(1-Assumptions!$F$24)</f>
        <v>113799.168</v>
      </c>
      <c r="AW15" s="28" t="n">
        <f aca="false">AW14*Assumptions!$F$24+AV14*(1-Assumptions!$F$24)</f>
        <v>0</v>
      </c>
      <c r="AX15" s="28" t="n">
        <f aca="false">AX14*Assumptions!$F$24+AW14*(1-Assumptions!$F$24)</f>
        <v>170698.752</v>
      </c>
      <c r="AY15" s="28" t="n">
        <f aca="false">AY14*Assumptions!$F$24+AX14*(1-Assumptions!$F$24)</f>
        <v>113799.168</v>
      </c>
      <c r="AZ15" s="28" t="n">
        <f aca="false">AZ14*Assumptions!$F$24+AY14*(1-Assumptions!$F$24)</f>
        <v>0</v>
      </c>
      <c r="BA15" s="28" t="n">
        <f aca="false">BA14*Assumptions!$F$24+AZ14*(1-Assumptions!$F$24)</f>
        <v>191182.60224</v>
      </c>
      <c r="BB15" s="28" t="n">
        <f aca="false">BB14*Assumptions!$F$24+BA14*(1-Assumptions!$F$24)</f>
        <v>127455.06816</v>
      </c>
      <c r="BC15" s="28" t="n">
        <f aca="false">BC14*Assumptions!$F$24+BB14*(1-Assumptions!$F$24)</f>
        <v>0</v>
      </c>
      <c r="BD15" s="28" t="n">
        <f aca="false">BD14*Assumptions!$F$24+BC14*(1-Assumptions!$F$24)</f>
        <v>191182.60224</v>
      </c>
      <c r="BE15" s="28" t="n">
        <f aca="false">BE14*Assumptions!$F$24+BD14*(1-Assumptions!$F$24)</f>
        <v>127455.06816</v>
      </c>
      <c r="BF15" s="28" t="n">
        <f aca="false">BF14*Assumptions!$F$24+BE14*(1-Assumptions!$F$24)</f>
        <v>0</v>
      </c>
      <c r="BG15" s="28" t="n">
        <f aca="false">BG14*Assumptions!$F$24+BF14*(1-Assumptions!$F$24)</f>
        <v>191182.60224</v>
      </c>
      <c r="BH15" s="28" t="n">
        <f aca="false">BH14*Assumptions!$F$24+BG14*(1-Assumptions!$F$24)</f>
        <v>127455.06816</v>
      </c>
      <c r="BI15" s="28" t="n">
        <f aca="false">BI14*Assumptions!$F$24+BH14*(1-Assumptions!$F$24)</f>
        <v>0</v>
      </c>
      <c r="BJ15" s="28" t="n">
        <f aca="false">BJ14*Assumptions!$F$24+BI14*(1-Assumptions!$F$24)</f>
        <v>191182.60224</v>
      </c>
    </row>
    <row r="16" customFormat="false" ht="15" hidden="false" customHeight="false" outlineLevel="0" collapsed="false">
      <c r="A16" s="4" t="s">
        <v>159</v>
      </c>
      <c r="B16" s="4"/>
      <c r="C16" s="28" t="n">
        <f aca="false">C14-C15</f>
        <v>0</v>
      </c>
      <c r="D16" s="28" t="n">
        <f aca="false">C16+D14-D15</f>
        <v>0</v>
      </c>
      <c r="E16" s="28" t="n">
        <f aca="false">D16+E14-E15</f>
        <v>0</v>
      </c>
      <c r="F16" s="28" t="n">
        <f aca="false">E16+F14-F15</f>
        <v>0</v>
      </c>
      <c r="G16" s="28" t="n">
        <f aca="false">F16+G14-G15</f>
        <v>0</v>
      </c>
      <c r="H16" s="28" t="n">
        <f aca="false">G16+H14-H15</f>
        <v>81000</v>
      </c>
      <c r="I16" s="28" t="n">
        <f aca="false">H16+I14-I15</f>
        <v>0</v>
      </c>
      <c r="J16" s="28" t="n">
        <f aca="false">I16+J14-J15</f>
        <v>0</v>
      </c>
      <c r="K16" s="28" t="n">
        <f aca="false">J16+K14-K15</f>
        <v>81000</v>
      </c>
      <c r="L16" s="28" t="n">
        <f aca="false">K16+L14-L15</f>
        <v>0</v>
      </c>
      <c r="M16" s="28" t="n">
        <f aca="false">L16+M14-M15</f>
        <v>0</v>
      </c>
      <c r="N16" s="28" t="n">
        <f aca="false">M16+N14-N15</f>
        <v>81000</v>
      </c>
      <c r="O16" s="28" t="n">
        <f aca="false">N16+O14-O15</f>
        <v>0</v>
      </c>
      <c r="P16" s="28" t="n">
        <f aca="false">O16+P14-P15</f>
        <v>0</v>
      </c>
      <c r="Q16" s="28" t="n">
        <f aca="false">P16+Q14-Q15</f>
        <v>90720</v>
      </c>
      <c r="R16" s="28" t="n">
        <f aca="false">Q16+R14-R15</f>
        <v>0</v>
      </c>
      <c r="S16" s="28" t="n">
        <f aca="false">R16+S14-S15</f>
        <v>0</v>
      </c>
      <c r="T16" s="28" t="n">
        <f aca="false">S16+T14-T15</f>
        <v>90720</v>
      </c>
      <c r="U16" s="28" t="n">
        <f aca="false">T16+U14-U15</f>
        <v>0</v>
      </c>
      <c r="V16" s="28" t="n">
        <f aca="false">U16+V14-V15</f>
        <v>0</v>
      </c>
      <c r="W16" s="28" t="n">
        <f aca="false">V16+W14-W15</f>
        <v>90720</v>
      </c>
      <c r="X16" s="28" t="n">
        <f aca="false">W16+X14-X15</f>
        <v>0</v>
      </c>
      <c r="Y16" s="28" t="n">
        <f aca="false">X16+Y14-Y15</f>
        <v>0</v>
      </c>
      <c r="Z16" s="28" t="n">
        <f aca="false">Y16+Z14-Z15</f>
        <v>90720</v>
      </c>
      <c r="AA16" s="28" t="n">
        <f aca="false">Z16+AA14-AA15</f>
        <v>0</v>
      </c>
      <c r="AB16" s="28" t="n">
        <f aca="false">AA16+AB14-AB15</f>
        <v>0</v>
      </c>
      <c r="AC16" s="28" t="n">
        <f aca="false">AB16+AC14-AC15</f>
        <v>101606.4</v>
      </c>
      <c r="AD16" s="28" t="n">
        <f aca="false">AC16+AD14-AD15</f>
        <v>0</v>
      </c>
      <c r="AE16" s="28" t="n">
        <f aca="false">AD16+AE14-AE15</f>
        <v>0</v>
      </c>
      <c r="AF16" s="28" t="n">
        <f aca="false">AE16+AF14-AF15</f>
        <v>101606.4</v>
      </c>
      <c r="AG16" s="28" t="n">
        <f aca="false">AF16+AG14-AG15</f>
        <v>0</v>
      </c>
      <c r="AH16" s="28" t="n">
        <f aca="false">AG16+AH14-AH15</f>
        <v>0</v>
      </c>
      <c r="AI16" s="28" t="n">
        <f aca="false">AH16+AI14-AI15</f>
        <v>101606.4</v>
      </c>
      <c r="AJ16" s="28" t="n">
        <f aca="false">AI16+AJ14-AJ15</f>
        <v>0</v>
      </c>
      <c r="AK16" s="28" t="n">
        <f aca="false">AJ16+AK14-AK15</f>
        <v>0</v>
      </c>
      <c r="AL16" s="28" t="n">
        <f aca="false">AK16+AL14-AL15</f>
        <v>101606.4</v>
      </c>
      <c r="AM16" s="28" t="n">
        <f aca="false">AL16+AM14-AM15</f>
        <v>0</v>
      </c>
      <c r="AN16" s="28" t="n">
        <f aca="false">AM16+AN14-AN15</f>
        <v>0</v>
      </c>
      <c r="AO16" s="28" t="n">
        <f aca="false">AN16+AO14-AO15</f>
        <v>113799.168</v>
      </c>
      <c r="AP16" s="28" t="n">
        <f aca="false">AO16+AP14-AP15</f>
        <v>0</v>
      </c>
      <c r="AQ16" s="28" t="n">
        <f aca="false">AP16+AQ14-AQ15</f>
        <v>0</v>
      </c>
      <c r="AR16" s="28" t="n">
        <f aca="false">AQ16+AR14-AR15</f>
        <v>113799.168</v>
      </c>
      <c r="AS16" s="28" t="n">
        <f aca="false">AR16+AS14-AS15</f>
        <v>0</v>
      </c>
      <c r="AT16" s="28" t="n">
        <f aca="false">AS16+AT14-AT15</f>
        <v>0</v>
      </c>
      <c r="AU16" s="28" t="n">
        <f aca="false">AT16+AU14-AU15</f>
        <v>113799.168</v>
      </c>
      <c r="AV16" s="28" t="n">
        <f aca="false">AU16+AV14-AV15</f>
        <v>0</v>
      </c>
      <c r="AW16" s="28" t="n">
        <f aca="false">AV16+AW14-AW15</f>
        <v>0</v>
      </c>
      <c r="AX16" s="28" t="n">
        <f aca="false">AW16+AX14-AX15</f>
        <v>113799.168</v>
      </c>
      <c r="AY16" s="28" t="n">
        <f aca="false">AX16+AY14-AY15</f>
        <v>0</v>
      </c>
      <c r="AZ16" s="28" t="n">
        <f aca="false">AY16+AZ14-AZ15</f>
        <v>0</v>
      </c>
      <c r="BA16" s="28" t="n">
        <f aca="false">AZ16+BA14-BA15</f>
        <v>127455.06816</v>
      </c>
      <c r="BB16" s="28" t="n">
        <f aca="false">BA16+BB14-BB15</f>
        <v>0</v>
      </c>
      <c r="BC16" s="28" t="n">
        <f aca="false">BB16+BC14-BC15</f>
        <v>0</v>
      </c>
      <c r="BD16" s="28" t="n">
        <f aca="false">BC16+BD14-BD15</f>
        <v>127455.06816</v>
      </c>
      <c r="BE16" s="28" t="n">
        <f aca="false">BD16+BE14-BE15</f>
        <v>0</v>
      </c>
      <c r="BF16" s="28" t="n">
        <f aca="false">BE16+BF14-BF15</f>
        <v>0</v>
      </c>
      <c r="BG16" s="28" t="n">
        <f aca="false">BF16+BG14-BG15</f>
        <v>127455.06816</v>
      </c>
      <c r="BH16" s="28" t="n">
        <f aca="false">BG16+BH14-BH15</f>
        <v>0</v>
      </c>
      <c r="BI16" s="28" t="n">
        <f aca="false">BH16+BI14-BI15</f>
        <v>0</v>
      </c>
      <c r="BJ16" s="28" t="n">
        <f aca="false">BI16+BJ14-BJ15</f>
        <v>127455.06816</v>
      </c>
    </row>
    <row r="17" customFormat="false" ht="15" hidden="false" customHeight="false" outlineLevel="0" collapsed="false">
      <c r="A17" s="15" t="s">
        <v>160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</row>
    <row r="18" customFormat="false" ht="15" hidden="false" customHeight="false" outlineLevel="0" collapsed="false">
      <c r="A18" s="4" t="s">
        <v>161</v>
      </c>
      <c r="B18" s="4"/>
      <c r="C18" s="28" t="n">
        <f aca="false">C11*Assumptions!$F$17*C8</f>
        <v>0</v>
      </c>
      <c r="D18" s="28" t="n">
        <f aca="false">D11*Assumptions!$F$17*D8</f>
        <v>0</v>
      </c>
      <c r="E18" s="28" t="n">
        <f aca="false">E11*Assumptions!$F$17*E8</f>
        <v>0</v>
      </c>
      <c r="F18" s="28" t="n">
        <f aca="false">F11*Assumptions!$F$17*F8</f>
        <v>0</v>
      </c>
      <c r="G18" s="28" t="n">
        <f aca="false">G11*Assumptions!$F$17*G8</f>
        <v>50000</v>
      </c>
      <c r="H18" s="28" t="n">
        <f aca="false">H11*Assumptions!$F$17*H8</f>
        <v>0</v>
      </c>
      <c r="I18" s="28" t="n">
        <f aca="false">I11*Assumptions!$F$17*I8</f>
        <v>0</v>
      </c>
      <c r="J18" s="28" t="n">
        <f aca="false">J11*Assumptions!$F$17*J8</f>
        <v>50000</v>
      </c>
      <c r="K18" s="28" t="n">
        <f aca="false">K11*Assumptions!$F$17*K8</f>
        <v>0</v>
      </c>
      <c r="L18" s="28" t="n">
        <f aca="false">L11*Assumptions!$F$17*L8</f>
        <v>0</v>
      </c>
      <c r="M18" s="28" t="n">
        <f aca="false">M11*Assumptions!$F$17*M8</f>
        <v>50000</v>
      </c>
      <c r="N18" s="28" t="n">
        <f aca="false">N11*Assumptions!$F$17*N8</f>
        <v>0</v>
      </c>
      <c r="O18" s="28" t="n">
        <f aca="false">O11*Assumptions!$F$17*O8</f>
        <v>0</v>
      </c>
      <c r="P18" s="28" t="n">
        <f aca="false">P11*Assumptions!$F$17*P8</f>
        <v>56000</v>
      </c>
      <c r="Q18" s="28" t="n">
        <f aca="false">Q11*Assumptions!$F$17*Q8</f>
        <v>0</v>
      </c>
      <c r="R18" s="28" t="n">
        <f aca="false">R11*Assumptions!$F$17*R8</f>
        <v>0</v>
      </c>
      <c r="S18" s="28" t="n">
        <f aca="false">S11*Assumptions!$F$17*S8</f>
        <v>56000</v>
      </c>
      <c r="T18" s="28" t="n">
        <f aca="false">T11*Assumptions!$F$17*T8</f>
        <v>0</v>
      </c>
      <c r="U18" s="28" t="n">
        <f aca="false">U11*Assumptions!$F$17*U8</f>
        <v>0</v>
      </c>
      <c r="V18" s="28" t="n">
        <f aca="false">V11*Assumptions!$F$17*V8</f>
        <v>56000</v>
      </c>
      <c r="W18" s="28" t="n">
        <f aca="false">W11*Assumptions!$F$17*W8</f>
        <v>0</v>
      </c>
      <c r="X18" s="28" t="n">
        <f aca="false">X11*Assumptions!$F$17*X8</f>
        <v>0</v>
      </c>
      <c r="Y18" s="28" t="n">
        <f aca="false">Y11*Assumptions!$F$17*Y8</f>
        <v>56000</v>
      </c>
      <c r="Z18" s="28" t="n">
        <f aca="false">Z11*Assumptions!$F$17*Z8</f>
        <v>0</v>
      </c>
      <c r="AA18" s="28" t="n">
        <f aca="false">AA11*Assumptions!$F$17*AA8</f>
        <v>0</v>
      </c>
      <c r="AB18" s="28" t="n">
        <f aca="false">AB11*Assumptions!$F$17*AB8</f>
        <v>62720</v>
      </c>
      <c r="AC18" s="28" t="n">
        <f aca="false">AC11*Assumptions!$F$17*AC8</f>
        <v>0</v>
      </c>
      <c r="AD18" s="28" t="n">
        <f aca="false">AD11*Assumptions!$F$17*AD8</f>
        <v>0</v>
      </c>
      <c r="AE18" s="28" t="n">
        <f aca="false">AE11*Assumptions!$F$17*AE8</f>
        <v>62720</v>
      </c>
      <c r="AF18" s="28" t="n">
        <f aca="false">AF11*Assumptions!$F$17*AF8</f>
        <v>0</v>
      </c>
      <c r="AG18" s="28" t="n">
        <f aca="false">AG11*Assumptions!$F$17*AG8</f>
        <v>0</v>
      </c>
      <c r="AH18" s="28" t="n">
        <f aca="false">AH11*Assumptions!$F$17*AH8</f>
        <v>62720</v>
      </c>
      <c r="AI18" s="28" t="n">
        <f aca="false">AI11*Assumptions!$F$17*AI8</f>
        <v>0</v>
      </c>
      <c r="AJ18" s="28" t="n">
        <f aca="false">AJ11*Assumptions!$F$17*AJ8</f>
        <v>0</v>
      </c>
      <c r="AK18" s="28" t="n">
        <f aca="false">AK11*Assumptions!$F$17*AK8</f>
        <v>62720</v>
      </c>
      <c r="AL18" s="28" t="n">
        <f aca="false">AL11*Assumptions!$F$17*AL8</f>
        <v>0</v>
      </c>
      <c r="AM18" s="28" t="n">
        <f aca="false">AM11*Assumptions!$F$17*AM8</f>
        <v>0</v>
      </c>
      <c r="AN18" s="28" t="n">
        <f aca="false">AN11*Assumptions!$F$17*AN8</f>
        <v>70246.4</v>
      </c>
      <c r="AO18" s="28" t="n">
        <f aca="false">AO11*Assumptions!$F$17*AO8</f>
        <v>0</v>
      </c>
      <c r="AP18" s="28" t="n">
        <f aca="false">AP11*Assumptions!$F$17*AP8</f>
        <v>0</v>
      </c>
      <c r="AQ18" s="28" t="n">
        <f aca="false">AQ11*Assumptions!$F$17*AQ8</f>
        <v>70246.4</v>
      </c>
      <c r="AR18" s="28" t="n">
        <f aca="false">AR11*Assumptions!$F$17*AR8</f>
        <v>0</v>
      </c>
      <c r="AS18" s="28" t="n">
        <f aca="false">AS11*Assumptions!$F$17*AS8</f>
        <v>0</v>
      </c>
      <c r="AT18" s="28" t="n">
        <f aca="false">AT11*Assumptions!$F$17*AT8</f>
        <v>70246.4</v>
      </c>
      <c r="AU18" s="28" t="n">
        <f aca="false">AU11*Assumptions!$F$17*AU8</f>
        <v>0</v>
      </c>
      <c r="AV18" s="28" t="n">
        <f aca="false">AV11*Assumptions!$F$17*AV8</f>
        <v>0</v>
      </c>
      <c r="AW18" s="28" t="n">
        <f aca="false">AW11*Assumptions!$F$17*AW8</f>
        <v>70246.4</v>
      </c>
      <c r="AX18" s="28" t="n">
        <f aca="false">AX11*Assumptions!$F$17*AX8</f>
        <v>0</v>
      </c>
      <c r="AY18" s="28" t="n">
        <f aca="false">AY11*Assumptions!$F$17*AY8</f>
        <v>0</v>
      </c>
      <c r="AZ18" s="28" t="n">
        <f aca="false">AZ11*Assumptions!$F$17*AZ8</f>
        <v>78675.968</v>
      </c>
      <c r="BA18" s="28" t="n">
        <f aca="false">BA11*Assumptions!$F$17*BA8</f>
        <v>0</v>
      </c>
      <c r="BB18" s="28" t="n">
        <f aca="false">BB11*Assumptions!$F$17*BB8</f>
        <v>0</v>
      </c>
      <c r="BC18" s="28" t="n">
        <f aca="false">BC11*Assumptions!$F$17*BC8</f>
        <v>78675.968</v>
      </c>
      <c r="BD18" s="28" t="n">
        <f aca="false">BD11*Assumptions!$F$17*BD8</f>
        <v>0</v>
      </c>
      <c r="BE18" s="28" t="n">
        <f aca="false">BE11*Assumptions!$F$17*BE8</f>
        <v>0</v>
      </c>
      <c r="BF18" s="28" t="n">
        <f aca="false">BF11*Assumptions!$F$17*BF8</f>
        <v>78675.968</v>
      </c>
      <c r="BG18" s="28" t="n">
        <f aca="false">BG11*Assumptions!$F$17*BG8</f>
        <v>0</v>
      </c>
      <c r="BH18" s="28" t="n">
        <f aca="false">BH11*Assumptions!$F$17*BH8</f>
        <v>0</v>
      </c>
      <c r="BI18" s="28" t="n">
        <f aca="false">BI11*Assumptions!$F$17*BI8</f>
        <v>78675.968</v>
      </c>
      <c r="BJ18" s="28" t="n">
        <f aca="false">BJ11*Assumptions!$F$17*BJ8</f>
        <v>0</v>
      </c>
    </row>
    <row r="19" customFormat="false" ht="15" hidden="false" customHeight="false" outlineLevel="0" collapsed="false">
      <c r="A19" s="4" t="s">
        <v>162</v>
      </c>
      <c r="B19" s="4"/>
      <c r="C19" s="28" t="n">
        <f aca="false">C11*Assumptions!$F$15*Assumptions!$F$14*Assumptions!$F$18*C8</f>
        <v>0</v>
      </c>
      <c r="D19" s="28" t="n">
        <f aca="false">(D11*Assumptions!$F$15+C11*(1-Assumptions!$F$15))*Assumptions!$F$14*Assumptions!$F$18*D8</f>
        <v>0</v>
      </c>
      <c r="E19" s="28" t="n">
        <f aca="false">(E11*Assumptions!$F$15+D11*(1-Assumptions!$F$15))*Assumptions!$F$14*Assumptions!$F$18*E8</f>
        <v>0</v>
      </c>
      <c r="F19" s="28" t="n">
        <f aca="false">(F11*Assumptions!$F$15+E11*(1-Assumptions!$F$15))*Assumptions!$F$14*Assumptions!$F$18*F8</f>
        <v>0</v>
      </c>
      <c r="G19" s="28" t="n">
        <f aca="false">(G11*Assumptions!$F$15+F11*(1-Assumptions!$F$15))*Assumptions!$F$14*Assumptions!$F$18*G8</f>
        <v>27200</v>
      </c>
      <c r="H19" s="28" t="n">
        <f aca="false">(H11*Assumptions!$F$15+G11*(1-Assumptions!$F$15))*Assumptions!$F$14*Assumptions!$F$18*H8</f>
        <v>40800</v>
      </c>
      <c r="I19" s="28" t="n">
        <f aca="false">(I11*Assumptions!$F$15+H11*(1-Assumptions!$F$15))*Assumptions!$F$14*Assumptions!$F$18*I8</f>
        <v>0</v>
      </c>
      <c r="J19" s="28" t="n">
        <f aca="false">(J11*Assumptions!$F$15+I11*(1-Assumptions!$F$15))*Assumptions!$F$14*Assumptions!$F$18*J8</f>
        <v>27200</v>
      </c>
      <c r="K19" s="28" t="n">
        <f aca="false">(K11*Assumptions!$F$15+J11*(1-Assumptions!$F$15))*Assumptions!$F$14*Assumptions!$F$18*K8</f>
        <v>40800</v>
      </c>
      <c r="L19" s="28" t="n">
        <f aca="false">(L11*Assumptions!$F$15+K11*(1-Assumptions!$F$15))*Assumptions!$F$14*Assumptions!$F$18*L8</f>
        <v>0</v>
      </c>
      <c r="M19" s="28" t="n">
        <f aca="false">(M11*Assumptions!$F$15+L11*(1-Assumptions!$F$15))*Assumptions!$F$14*Assumptions!$F$18*M8</f>
        <v>27200</v>
      </c>
      <c r="N19" s="28" t="n">
        <f aca="false">(N11*Assumptions!$F$15+M11*(1-Assumptions!$F$15))*Assumptions!$F$14*Assumptions!$F$18*N8</f>
        <v>40800</v>
      </c>
      <c r="O19" s="28" t="n">
        <f aca="false">(O11*Assumptions!$F$15+N11*(1-Assumptions!$F$15))*Assumptions!$F$14*Assumptions!$F$18*O8</f>
        <v>0</v>
      </c>
      <c r="P19" s="28" t="n">
        <f aca="false">(P11*Assumptions!$F$15+O11*(1-Assumptions!$F$15))*Assumptions!$F$14*Assumptions!$F$18*P8</f>
        <v>30464</v>
      </c>
      <c r="Q19" s="28" t="n">
        <f aca="false">(Q11*Assumptions!$F$15+P11*(1-Assumptions!$F$15))*Assumptions!$F$14*Assumptions!$F$18*Q8</f>
        <v>45696</v>
      </c>
      <c r="R19" s="28" t="n">
        <f aca="false">(R11*Assumptions!$F$15+Q11*(1-Assumptions!$F$15))*Assumptions!$F$14*Assumptions!$F$18*R8</f>
        <v>0</v>
      </c>
      <c r="S19" s="28" t="n">
        <f aca="false">(S11*Assumptions!$F$15+R11*(1-Assumptions!$F$15))*Assumptions!$F$14*Assumptions!$F$18*S8</f>
        <v>30464</v>
      </c>
      <c r="T19" s="28" t="n">
        <f aca="false">(T11*Assumptions!$F$15+S11*(1-Assumptions!$F$15))*Assumptions!$F$14*Assumptions!$F$18*T8</f>
        <v>45696</v>
      </c>
      <c r="U19" s="28" t="n">
        <f aca="false">(U11*Assumptions!$F$15+T11*(1-Assumptions!$F$15))*Assumptions!$F$14*Assumptions!$F$18*U8</f>
        <v>0</v>
      </c>
      <c r="V19" s="28" t="n">
        <f aca="false">(V11*Assumptions!$F$15+U11*(1-Assumptions!$F$15))*Assumptions!$F$14*Assumptions!$F$18*V8</f>
        <v>30464</v>
      </c>
      <c r="W19" s="28" t="n">
        <f aca="false">(W11*Assumptions!$F$15+V11*(1-Assumptions!$F$15))*Assumptions!$F$14*Assumptions!$F$18*W8</f>
        <v>45696</v>
      </c>
      <c r="X19" s="28" t="n">
        <f aca="false">(X11*Assumptions!$F$15+W11*(1-Assumptions!$F$15))*Assumptions!$F$14*Assumptions!$F$18*X8</f>
        <v>0</v>
      </c>
      <c r="Y19" s="28" t="n">
        <f aca="false">(Y11*Assumptions!$F$15+X11*(1-Assumptions!$F$15))*Assumptions!$F$14*Assumptions!$F$18*Y8</f>
        <v>30464</v>
      </c>
      <c r="Z19" s="28" t="n">
        <f aca="false">(Z11*Assumptions!$F$15+Y11*(1-Assumptions!$F$15))*Assumptions!$F$14*Assumptions!$F$18*Z8</f>
        <v>45696</v>
      </c>
      <c r="AA19" s="28" t="n">
        <f aca="false">(AA11*Assumptions!$F$15+Z11*(1-Assumptions!$F$15))*Assumptions!$F$14*Assumptions!$F$18*AA8</f>
        <v>0</v>
      </c>
      <c r="AB19" s="28" t="n">
        <f aca="false">(AB11*Assumptions!$F$15+AA11*(1-Assumptions!$F$15))*Assumptions!$F$14*Assumptions!$F$18*AB8</f>
        <v>34119.68</v>
      </c>
      <c r="AC19" s="28" t="n">
        <f aca="false">(AC11*Assumptions!$F$15+AB11*(1-Assumptions!$F$15))*Assumptions!$F$14*Assumptions!$F$18*AC8</f>
        <v>51179.52</v>
      </c>
      <c r="AD19" s="28" t="n">
        <f aca="false">(AD11*Assumptions!$F$15+AC11*(1-Assumptions!$F$15))*Assumptions!$F$14*Assumptions!$F$18*AD8</f>
        <v>0</v>
      </c>
      <c r="AE19" s="28" t="n">
        <f aca="false">(AE11*Assumptions!$F$15+AD11*(1-Assumptions!$F$15))*Assumptions!$F$14*Assumptions!$F$18*AE8</f>
        <v>34119.68</v>
      </c>
      <c r="AF19" s="28" t="n">
        <f aca="false">(AF11*Assumptions!$F$15+AE11*(1-Assumptions!$F$15))*Assumptions!$F$14*Assumptions!$F$18*AF8</f>
        <v>51179.52</v>
      </c>
      <c r="AG19" s="28" t="n">
        <f aca="false">(AG11*Assumptions!$F$15+AF11*(1-Assumptions!$F$15))*Assumptions!$F$14*Assumptions!$F$18*AG8</f>
        <v>0</v>
      </c>
      <c r="AH19" s="28" t="n">
        <f aca="false">(AH11*Assumptions!$F$15+AG11*(1-Assumptions!$F$15))*Assumptions!$F$14*Assumptions!$F$18*AH8</f>
        <v>34119.68</v>
      </c>
      <c r="AI19" s="28" t="n">
        <f aca="false">(AI11*Assumptions!$F$15+AH11*(1-Assumptions!$F$15))*Assumptions!$F$14*Assumptions!$F$18*AI8</f>
        <v>51179.52</v>
      </c>
      <c r="AJ19" s="28" t="n">
        <f aca="false">(AJ11*Assumptions!$F$15+AI11*(1-Assumptions!$F$15))*Assumptions!$F$14*Assumptions!$F$18*AJ8</f>
        <v>0</v>
      </c>
      <c r="AK19" s="28" t="n">
        <f aca="false">(AK11*Assumptions!$F$15+AJ11*(1-Assumptions!$F$15))*Assumptions!$F$14*Assumptions!$F$18*AK8</f>
        <v>34119.68</v>
      </c>
      <c r="AL19" s="28" t="n">
        <f aca="false">(AL11*Assumptions!$F$15+AK11*(1-Assumptions!$F$15))*Assumptions!$F$14*Assumptions!$F$18*AL8</f>
        <v>51179.52</v>
      </c>
      <c r="AM19" s="28" t="n">
        <f aca="false">(AM11*Assumptions!$F$15+AL11*(1-Assumptions!$F$15))*Assumptions!$F$14*Assumptions!$F$18*AM8</f>
        <v>0</v>
      </c>
      <c r="AN19" s="28" t="n">
        <f aca="false">(AN11*Assumptions!$F$15+AM11*(1-Assumptions!$F$15))*Assumptions!$F$14*Assumptions!$F$18*AN8</f>
        <v>38214.0416</v>
      </c>
      <c r="AO19" s="28" t="n">
        <f aca="false">(AO11*Assumptions!$F$15+AN11*(1-Assumptions!$F$15))*Assumptions!$F$14*Assumptions!$F$18*AO8</f>
        <v>57321.0624</v>
      </c>
      <c r="AP19" s="28" t="n">
        <f aca="false">(AP11*Assumptions!$F$15+AO11*(1-Assumptions!$F$15))*Assumptions!$F$14*Assumptions!$F$18*AP8</f>
        <v>0</v>
      </c>
      <c r="AQ19" s="28" t="n">
        <f aca="false">(AQ11*Assumptions!$F$15+AP11*(1-Assumptions!$F$15))*Assumptions!$F$14*Assumptions!$F$18*AQ8</f>
        <v>38214.0416</v>
      </c>
      <c r="AR19" s="28" t="n">
        <f aca="false">(AR11*Assumptions!$F$15+AQ11*(1-Assumptions!$F$15))*Assumptions!$F$14*Assumptions!$F$18*AR8</f>
        <v>57321.0624</v>
      </c>
      <c r="AS19" s="28" t="n">
        <f aca="false">(AS11*Assumptions!$F$15+AR11*(1-Assumptions!$F$15))*Assumptions!$F$14*Assumptions!$F$18*AS8</f>
        <v>0</v>
      </c>
      <c r="AT19" s="28" t="n">
        <f aca="false">(AT11*Assumptions!$F$15+AS11*(1-Assumptions!$F$15))*Assumptions!$F$14*Assumptions!$F$18*AT8</f>
        <v>38214.0416</v>
      </c>
      <c r="AU19" s="28" t="n">
        <f aca="false">(AU11*Assumptions!$F$15+AT11*(1-Assumptions!$F$15))*Assumptions!$F$14*Assumptions!$F$18*AU8</f>
        <v>57321.0624</v>
      </c>
      <c r="AV19" s="28" t="n">
        <f aca="false">(AV11*Assumptions!$F$15+AU11*(1-Assumptions!$F$15))*Assumptions!$F$14*Assumptions!$F$18*AV8</f>
        <v>0</v>
      </c>
      <c r="AW19" s="28" t="n">
        <f aca="false">(AW11*Assumptions!$F$15+AV11*(1-Assumptions!$F$15))*Assumptions!$F$14*Assumptions!$F$18*AW8</f>
        <v>38214.0416</v>
      </c>
      <c r="AX19" s="28" t="n">
        <f aca="false">(AX11*Assumptions!$F$15+AW11*(1-Assumptions!$F$15))*Assumptions!$F$14*Assumptions!$F$18*AX8</f>
        <v>57321.0624</v>
      </c>
      <c r="AY19" s="28" t="n">
        <f aca="false">(AY11*Assumptions!$F$15+AX11*(1-Assumptions!$F$15))*Assumptions!$F$14*Assumptions!$F$18*AY8</f>
        <v>0</v>
      </c>
      <c r="AZ19" s="28" t="n">
        <f aca="false">(AZ11*Assumptions!$F$15+AY11*(1-Assumptions!$F$15))*Assumptions!$F$14*Assumptions!$F$18*AZ8</f>
        <v>42799.726592</v>
      </c>
      <c r="BA19" s="28" t="n">
        <f aca="false">(BA11*Assumptions!$F$15+AZ11*(1-Assumptions!$F$15))*Assumptions!$F$14*Assumptions!$F$18*BA8</f>
        <v>64199.589888</v>
      </c>
      <c r="BB19" s="28" t="n">
        <f aca="false">(BB11*Assumptions!$F$15+BA11*(1-Assumptions!$F$15))*Assumptions!$F$14*Assumptions!$F$18*BB8</f>
        <v>0</v>
      </c>
      <c r="BC19" s="28" t="n">
        <f aca="false">(BC11*Assumptions!$F$15+BB11*(1-Assumptions!$F$15))*Assumptions!$F$14*Assumptions!$F$18*BC8</f>
        <v>42799.726592</v>
      </c>
      <c r="BD19" s="28" t="n">
        <f aca="false">(BD11*Assumptions!$F$15+BC11*(1-Assumptions!$F$15))*Assumptions!$F$14*Assumptions!$F$18*BD8</f>
        <v>64199.589888</v>
      </c>
      <c r="BE19" s="28" t="n">
        <f aca="false">(BE11*Assumptions!$F$15+BD11*(1-Assumptions!$F$15))*Assumptions!$F$14*Assumptions!$F$18*BE8</f>
        <v>0</v>
      </c>
      <c r="BF19" s="28" t="n">
        <f aca="false">(BF11*Assumptions!$F$15+BE11*(1-Assumptions!$F$15))*Assumptions!$F$14*Assumptions!$F$18*BF8</f>
        <v>42799.726592</v>
      </c>
      <c r="BG19" s="28" t="n">
        <f aca="false">(BG11*Assumptions!$F$15+BF11*(1-Assumptions!$F$15))*Assumptions!$F$14*Assumptions!$F$18*BG8</f>
        <v>64199.589888</v>
      </c>
      <c r="BH19" s="28" t="n">
        <f aca="false">(BH11*Assumptions!$F$15+BG11*(1-Assumptions!$F$15))*Assumptions!$F$14*Assumptions!$F$18*BH8</f>
        <v>0</v>
      </c>
      <c r="BI19" s="28" t="n">
        <f aca="false">(BI11*Assumptions!$F$15+BH11*(1-Assumptions!$F$15))*Assumptions!$F$14*Assumptions!$F$18*BI8</f>
        <v>42799.726592</v>
      </c>
      <c r="BJ19" s="28" t="n">
        <f aca="false">(BJ11*Assumptions!$F$15+BI11*(1-Assumptions!$F$15))*Assumptions!$F$14*Assumptions!$F$18*BJ8</f>
        <v>64199.589888</v>
      </c>
    </row>
    <row r="20" customFormat="false" ht="15" hidden="false" customHeight="false" outlineLevel="0" collapsed="false">
      <c r="A20" s="4" t="s">
        <v>70</v>
      </c>
      <c r="B20" s="4"/>
      <c r="C20" s="28" t="n">
        <f aca="false">C11*Assumptions!$F$19*C8</f>
        <v>0</v>
      </c>
      <c r="D20" s="28" t="n">
        <f aca="false">D11*Assumptions!$F$19*D8</f>
        <v>0</v>
      </c>
      <c r="E20" s="28" t="n">
        <f aca="false">E11*Assumptions!$F$19*E8</f>
        <v>0</v>
      </c>
      <c r="F20" s="28" t="n">
        <f aca="false">F11*Assumptions!$F$19*F8</f>
        <v>0</v>
      </c>
      <c r="G20" s="28" t="n">
        <f aca="false">G11*Assumptions!$F$19*G8</f>
        <v>6000</v>
      </c>
      <c r="H20" s="28" t="n">
        <f aca="false">H11*Assumptions!$F$19*H8</f>
        <v>0</v>
      </c>
      <c r="I20" s="28" t="n">
        <f aca="false">I11*Assumptions!$F$19*I8</f>
        <v>0</v>
      </c>
      <c r="J20" s="28" t="n">
        <f aca="false">J11*Assumptions!$F$19*J8</f>
        <v>6000</v>
      </c>
      <c r="K20" s="28" t="n">
        <f aca="false">K11*Assumptions!$F$19*K8</f>
        <v>0</v>
      </c>
      <c r="L20" s="28" t="n">
        <f aca="false">L11*Assumptions!$F$19*L8</f>
        <v>0</v>
      </c>
      <c r="M20" s="28" t="n">
        <f aca="false">M11*Assumptions!$F$19*M8</f>
        <v>6000</v>
      </c>
      <c r="N20" s="28" t="n">
        <f aca="false">N11*Assumptions!$F$19*N8</f>
        <v>0</v>
      </c>
      <c r="O20" s="28" t="n">
        <f aca="false">O11*Assumptions!$F$19*O8</f>
        <v>0</v>
      </c>
      <c r="P20" s="28" t="n">
        <f aca="false">P11*Assumptions!$F$19*P8</f>
        <v>6720</v>
      </c>
      <c r="Q20" s="28" t="n">
        <f aca="false">Q11*Assumptions!$F$19*Q8</f>
        <v>0</v>
      </c>
      <c r="R20" s="28" t="n">
        <f aca="false">R11*Assumptions!$F$19*R8</f>
        <v>0</v>
      </c>
      <c r="S20" s="28" t="n">
        <f aca="false">S11*Assumptions!$F$19*S8</f>
        <v>6720</v>
      </c>
      <c r="T20" s="28" t="n">
        <f aca="false">T11*Assumptions!$F$19*T8</f>
        <v>0</v>
      </c>
      <c r="U20" s="28" t="n">
        <f aca="false">U11*Assumptions!$F$19*U8</f>
        <v>0</v>
      </c>
      <c r="V20" s="28" t="n">
        <f aca="false">V11*Assumptions!$F$19*V8</f>
        <v>6720</v>
      </c>
      <c r="W20" s="28" t="n">
        <f aca="false">W11*Assumptions!$F$19*W8</f>
        <v>0</v>
      </c>
      <c r="X20" s="28" t="n">
        <f aca="false">X11*Assumptions!$F$19*X8</f>
        <v>0</v>
      </c>
      <c r="Y20" s="28" t="n">
        <f aca="false">Y11*Assumptions!$F$19*Y8</f>
        <v>6720</v>
      </c>
      <c r="Z20" s="28" t="n">
        <f aca="false">Z11*Assumptions!$F$19*Z8</f>
        <v>0</v>
      </c>
      <c r="AA20" s="28" t="n">
        <f aca="false">AA11*Assumptions!$F$19*AA8</f>
        <v>0</v>
      </c>
      <c r="AB20" s="28" t="n">
        <f aca="false">AB11*Assumptions!$F$19*AB8</f>
        <v>7526.4</v>
      </c>
      <c r="AC20" s="28" t="n">
        <f aca="false">AC11*Assumptions!$F$19*AC8</f>
        <v>0</v>
      </c>
      <c r="AD20" s="28" t="n">
        <f aca="false">AD11*Assumptions!$F$19*AD8</f>
        <v>0</v>
      </c>
      <c r="AE20" s="28" t="n">
        <f aca="false">AE11*Assumptions!$F$19*AE8</f>
        <v>7526.4</v>
      </c>
      <c r="AF20" s="28" t="n">
        <f aca="false">AF11*Assumptions!$F$19*AF8</f>
        <v>0</v>
      </c>
      <c r="AG20" s="28" t="n">
        <f aca="false">AG11*Assumptions!$F$19*AG8</f>
        <v>0</v>
      </c>
      <c r="AH20" s="28" t="n">
        <f aca="false">AH11*Assumptions!$F$19*AH8</f>
        <v>7526.4</v>
      </c>
      <c r="AI20" s="28" t="n">
        <f aca="false">AI11*Assumptions!$F$19*AI8</f>
        <v>0</v>
      </c>
      <c r="AJ20" s="28" t="n">
        <f aca="false">AJ11*Assumptions!$F$19*AJ8</f>
        <v>0</v>
      </c>
      <c r="AK20" s="28" t="n">
        <f aca="false">AK11*Assumptions!$F$19*AK8</f>
        <v>7526.4</v>
      </c>
      <c r="AL20" s="28" t="n">
        <f aca="false">AL11*Assumptions!$F$19*AL8</f>
        <v>0</v>
      </c>
      <c r="AM20" s="28" t="n">
        <f aca="false">AM11*Assumptions!$F$19*AM8</f>
        <v>0</v>
      </c>
      <c r="AN20" s="28" t="n">
        <f aca="false">AN11*Assumptions!$F$19*AN8</f>
        <v>8429.568</v>
      </c>
      <c r="AO20" s="28" t="n">
        <f aca="false">AO11*Assumptions!$F$19*AO8</f>
        <v>0</v>
      </c>
      <c r="AP20" s="28" t="n">
        <f aca="false">AP11*Assumptions!$F$19*AP8</f>
        <v>0</v>
      </c>
      <c r="AQ20" s="28" t="n">
        <f aca="false">AQ11*Assumptions!$F$19*AQ8</f>
        <v>8429.568</v>
      </c>
      <c r="AR20" s="28" t="n">
        <f aca="false">AR11*Assumptions!$F$19*AR8</f>
        <v>0</v>
      </c>
      <c r="AS20" s="28" t="n">
        <f aca="false">AS11*Assumptions!$F$19*AS8</f>
        <v>0</v>
      </c>
      <c r="AT20" s="28" t="n">
        <f aca="false">AT11*Assumptions!$F$19*AT8</f>
        <v>8429.568</v>
      </c>
      <c r="AU20" s="28" t="n">
        <f aca="false">AU11*Assumptions!$F$19*AU8</f>
        <v>0</v>
      </c>
      <c r="AV20" s="28" t="n">
        <f aca="false">AV11*Assumptions!$F$19*AV8</f>
        <v>0</v>
      </c>
      <c r="AW20" s="28" t="n">
        <f aca="false">AW11*Assumptions!$F$19*AW8</f>
        <v>8429.568</v>
      </c>
      <c r="AX20" s="28" t="n">
        <f aca="false">AX11*Assumptions!$F$19*AX8</f>
        <v>0</v>
      </c>
      <c r="AY20" s="28" t="n">
        <f aca="false">AY11*Assumptions!$F$19*AY8</f>
        <v>0</v>
      </c>
      <c r="AZ20" s="28" t="n">
        <f aca="false">AZ11*Assumptions!$F$19*AZ8</f>
        <v>9441.11616</v>
      </c>
      <c r="BA20" s="28" t="n">
        <f aca="false">BA11*Assumptions!$F$19*BA8</f>
        <v>0</v>
      </c>
      <c r="BB20" s="28" t="n">
        <f aca="false">BB11*Assumptions!$F$19*BB8</f>
        <v>0</v>
      </c>
      <c r="BC20" s="28" t="n">
        <f aca="false">BC11*Assumptions!$F$19*BC8</f>
        <v>9441.11616</v>
      </c>
      <c r="BD20" s="28" t="n">
        <f aca="false">BD11*Assumptions!$F$19*BD8</f>
        <v>0</v>
      </c>
      <c r="BE20" s="28" t="n">
        <f aca="false">BE11*Assumptions!$F$19*BE8</f>
        <v>0</v>
      </c>
      <c r="BF20" s="28" t="n">
        <f aca="false">BF11*Assumptions!$F$19*BF8</f>
        <v>9441.11616</v>
      </c>
      <c r="BG20" s="28" t="n">
        <f aca="false">BG11*Assumptions!$F$19*BG8</f>
        <v>0</v>
      </c>
      <c r="BH20" s="28" t="n">
        <f aca="false">BH11*Assumptions!$F$19*BH8</f>
        <v>0</v>
      </c>
      <c r="BI20" s="28" t="n">
        <f aca="false">BI11*Assumptions!$F$19*BI8</f>
        <v>9441.11616</v>
      </c>
      <c r="BJ20" s="28" t="n">
        <f aca="false">BJ11*Assumptions!$F$19*BJ8</f>
        <v>0</v>
      </c>
    </row>
    <row r="21" customFormat="false" ht="15" hidden="false" customHeight="false" outlineLevel="0" collapsed="false">
      <c r="A21" s="4" t="s">
        <v>163</v>
      </c>
      <c r="B21" s="4"/>
      <c r="C21" s="28" t="n">
        <f aca="false">C10*Assumptions!$F$20/2*C8</f>
        <v>0</v>
      </c>
      <c r="D21" s="28" t="n">
        <f aca="false">(D10+C10)*Assumptions!$F$20/2*D8</f>
        <v>0</v>
      </c>
      <c r="E21" s="28" t="n">
        <f aca="false">(E10+D10)*Assumptions!$F$20/2*E8</f>
        <v>0</v>
      </c>
      <c r="F21" s="28" t="n">
        <f aca="false">(F10+E10)*Assumptions!$F$20/2*F8</f>
        <v>0</v>
      </c>
      <c r="G21" s="28" t="n">
        <f aca="false">(G10+F10)*Assumptions!$F$20/2*G8</f>
        <v>1500</v>
      </c>
      <c r="H21" s="28" t="n">
        <f aca="false">(H10+G10)*Assumptions!$F$20/2*H8</f>
        <v>1500</v>
      </c>
      <c r="I21" s="28" t="n">
        <f aca="false">(I10+H10)*Assumptions!$F$20/2*I8</f>
        <v>0</v>
      </c>
      <c r="J21" s="28" t="n">
        <f aca="false">(J10+I10)*Assumptions!$F$20/2*J8</f>
        <v>1500</v>
      </c>
      <c r="K21" s="28" t="n">
        <f aca="false">(K10+J10)*Assumptions!$F$20/2*K8</f>
        <v>1500</v>
      </c>
      <c r="L21" s="28" t="n">
        <f aca="false">(L10+K10)*Assumptions!$F$20/2*L8</f>
        <v>0</v>
      </c>
      <c r="M21" s="28" t="n">
        <f aca="false">(M10+L10)*Assumptions!$F$20/2*M8</f>
        <v>1500</v>
      </c>
      <c r="N21" s="28" t="n">
        <f aca="false">(N10+M10)*Assumptions!$F$20/2*N8</f>
        <v>1500</v>
      </c>
      <c r="O21" s="28" t="n">
        <f aca="false">(O10+N10)*Assumptions!$F$20/2*O8</f>
        <v>0</v>
      </c>
      <c r="P21" s="28" t="n">
        <f aca="false">(P10+O10)*Assumptions!$F$20/2*P8</f>
        <v>1680</v>
      </c>
      <c r="Q21" s="28" t="n">
        <f aca="false">(Q10+P10)*Assumptions!$F$20/2*Q8</f>
        <v>1680</v>
      </c>
      <c r="R21" s="28" t="n">
        <f aca="false">(R10+Q10)*Assumptions!$F$20/2*R8</f>
        <v>0</v>
      </c>
      <c r="S21" s="28" t="n">
        <f aca="false">(S10+R10)*Assumptions!$F$20/2*S8</f>
        <v>1680</v>
      </c>
      <c r="T21" s="28" t="n">
        <f aca="false">(T10+S10)*Assumptions!$F$20/2*T8</f>
        <v>1680</v>
      </c>
      <c r="U21" s="28" t="n">
        <f aca="false">(U10+T10)*Assumptions!$F$20/2*U8</f>
        <v>0</v>
      </c>
      <c r="V21" s="28" t="n">
        <f aca="false">(V10+U10)*Assumptions!$F$20/2*V8</f>
        <v>1680</v>
      </c>
      <c r="W21" s="28" t="n">
        <f aca="false">(W10+V10)*Assumptions!$F$20/2*W8</f>
        <v>1680</v>
      </c>
      <c r="X21" s="28" t="n">
        <f aca="false">(X10+W10)*Assumptions!$F$20/2*X8</f>
        <v>0</v>
      </c>
      <c r="Y21" s="28" t="n">
        <f aca="false">(Y10+X10)*Assumptions!$F$20/2*Y8</f>
        <v>1680</v>
      </c>
      <c r="Z21" s="28" t="n">
        <f aca="false">(Z10+Y10)*Assumptions!$F$20/2*Z8</f>
        <v>1680</v>
      </c>
      <c r="AA21" s="28" t="n">
        <f aca="false">(AA10+Z10)*Assumptions!$F$20/2*AA8</f>
        <v>0</v>
      </c>
      <c r="AB21" s="28" t="n">
        <f aca="false">(AB10+AA10)*Assumptions!$F$20/2*AB8</f>
        <v>1881.6</v>
      </c>
      <c r="AC21" s="28" t="n">
        <f aca="false">(AC10+AB10)*Assumptions!$F$20/2*AC8</f>
        <v>1881.6</v>
      </c>
      <c r="AD21" s="28" t="n">
        <f aca="false">(AD10+AC10)*Assumptions!$F$20/2*AD8</f>
        <v>0</v>
      </c>
      <c r="AE21" s="28" t="n">
        <f aca="false">(AE10+AD10)*Assumptions!$F$20/2*AE8</f>
        <v>1881.6</v>
      </c>
      <c r="AF21" s="28" t="n">
        <f aca="false">(AF10+AE10)*Assumptions!$F$20/2*AF8</f>
        <v>1881.6</v>
      </c>
      <c r="AG21" s="28" t="n">
        <f aca="false">(AG10+AF10)*Assumptions!$F$20/2*AG8</f>
        <v>0</v>
      </c>
      <c r="AH21" s="28" t="n">
        <f aca="false">(AH10+AG10)*Assumptions!$F$20/2*AH8</f>
        <v>1881.6</v>
      </c>
      <c r="AI21" s="28" t="n">
        <f aca="false">(AI10+AH10)*Assumptions!$F$20/2*AI8</f>
        <v>1881.6</v>
      </c>
      <c r="AJ21" s="28" t="n">
        <f aca="false">(AJ10+AI10)*Assumptions!$F$20/2*AJ8</f>
        <v>0</v>
      </c>
      <c r="AK21" s="28" t="n">
        <f aca="false">(AK10+AJ10)*Assumptions!$F$20/2*AK8</f>
        <v>1881.6</v>
      </c>
      <c r="AL21" s="28" t="n">
        <f aca="false">(AL10+AK10)*Assumptions!$F$20/2*AL8</f>
        <v>1881.6</v>
      </c>
      <c r="AM21" s="28" t="n">
        <f aca="false">(AM10+AL10)*Assumptions!$F$20/2*AM8</f>
        <v>0</v>
      </c>
      <c r="AN21" s="28" t="n">
        <f aca="false">(AN10+AM10)*Assumptions!$F$20/2*AN8</f>
        <v>2107.392</v>
      </c>
      <c r="AO21" s="28" t="n">
        <f aca="false">(AO10+AN10)*Assumptions!$F$20/2*AO8</f>
        <v>2107.392</v>
      </c>
      <c r="AP21" s="28" t="n">
        <f aca="false">(AP10+AO10)*Assumptions!$F$20/2*AP8</f>
        <v>0</v>
      </c>
      <c r="AQ21" s="28" t="n">
        <f aca="false">(AQ10+AP10)*Assumptions!$F$20/2*AQ8</f>
        <v>2107.392</v>
      </c>
      <c r="AR21" s="28" t="n">
        <f aca="false">(AR10+AQ10)*Assumptions!$F$20/2*AR8</f>
        <v>2107.392</v>
      </c>
      <c r="AS21" s="28" t="n">
        <f aca="false">(AS10+AR10)*Assumptions!$F$20/2*AS8</f>
        <v>0</v>
      </c>
      <c r="AT21" s="28" t="n">
        <f aca="false">(AT10+AS10)*Assumptions!$F$20/2*AT8</f>
        <v>2107.392</v>
      </c>
      <c r="AU21" s="28" t="n">
        <f aca="false">(AU10+AT10)*Assumptions!$F$20/2*AU8</f>
        <v>2107.392</v>
      </c>
      <c r="AV21" s="28" t="n">
        <f aca="false">(AV10+AU10)*Assumptions!$F$20/2*AV8</f>
        <v>0</v>
      </c>
      <c r="AW21" s="28" t="n">
        <f aca="false">(AW10+AV10)*Assumptions!$F$20/2*AW8</f>
        <v>2107.392</v>
      </c>
      <c r="AX21" s="28" t="n">
        <f aca="false">(AX10+AW10)*Assumptions!$F$20/2*AX8</f>
        <v>2107.392</v>
      </c>
      <c r="AY21" s="28" t="n">
        <f aca="false">(AY10+AX10)*Assumptions!$F$20/2*AY8</f>
        <v>0</v>
      </c>
      <c r="AZ21" s="28" t="n">
        <f aca="false">(AZ10+AY10)*Assumptions!$F$20/2*AZ8</f>
        <v>2360.27904</v>
      </c>
      <c r="BA21" s="28" t="n">
        <f aca="false">(BA10+AZ10)*Assumptions!$F$20/2*BA8</f>
        <v>2360.27904</v>
      </c>
      <c r="BB21" s="28" t="n">
        <f aca="false">(BB10+BA10)*Assumptions!$F$20/2*BB8</f>
        <v>0</v>
      </c>
      <c r="BC21" s="28" t="n">
        <f aca="false">(BC10+BB10)*Assumptions!$F$20/2*BC8</f>
        <v>2360.27904</v>
      </c>
      <c r="BD21" s="28" t="n">
        <f aca="false">(BD10+BC10)*Assumptions!$F$20/2*BD8</f>
        <v>2360.27904</v>
      </c>
      <c r="BE21" s="28" t="n">
        <f aca="false">(BE10+BD10)*Assumptions!$F$20/2*BE8</f>
        <v>0</v>
      </c>
      <c r="BF21" s="28" t="n">
        <f aca="false">(BF10+BE10)*Assumptions!$F$20/2*BF8</f>
        <v>2360.27904</v>
      </c>
      <c r="BG21" s="28" t="n">
        <f aca="false">(BG10+BF10)*Assumptions!$F$20/2*BG8</f>
        <v>2360.27904</v>
      </c>
      <c r="BH21" s="28" t="n">
        <f aca="false">(BH10+BG10)*Assumptions!$F$20/2*BH8</f>
        <v>0</v>
      </c>
      <c r="BI21" s="28" t="n">
        <f aca="false">(BI10+BH10)*Assumptions!$F$20/2*BI8</f>
        <v>2360.27904</v>
      </c>
      <c r="BJ21" s="28" t="n">
        <f aca="false">(BJ10+BI10)*Assumptions!$F$20/2*BJ8</f>
        <v>2360.27904</v>
      </c>
    </row>
    <row r="22" customFormat="false" ht="15" hidden="false" customHeight="false" outlineLevel="0" collapsed="false">
      <c r="A22" s="4" t="s">
        <v>164</v>
      </c>
      <c r="B22" s="4"/>
      <c r="C22" s="28" t="n">
        <f aca="false">C10*Assumptions!$F$21*C8</f>
        <v>0</v>
      </c>
      <c r="D22" s="28" t="n">
        <f aca="false">D10*Assumptions!$F$21*D8</f>
        <v>0</v>
      </c>
      <c r="E22" s="28" t="n">
        <f aca="false">E10*Assumptions!$F$21*E8</f>
        <v>0</v>
      </c>
      <c r="F22" s="28" t="n">
        <f aca="false">F10*Assumptions!$F$21*F8</f>
        <v>0</v>
      </c>
      <c r="G22" s="28" t="n">
        <f aca="false">G10*Assumptions!$F$21*G8</f>
        <v>1500</v>
      </c>
      <c r="H22" s="28" t="n">
        <f aca="false">H10*Assumptions!$F$21*H8</f>
        <v>0</v>
      </c>
      <c r="I22" s="28" t="n">
        <f aca="false">I10*Assumptions!$F$21*I8</f>
        <v>0</v>
      </c>
      <c r="J22" s="28" t="n">
        <f aca="false">J10*Assumptions!$F$21*J8</f>
        <v>1500</v>
      </c>
      <c r="K22" s="28" t="n">
        <f aca="false">K10*Assumptions!$F$21*K8</f>
        <v>0</v>
      </c>
      <c r="L22" s="28" t="n">
        <f aca="false">L10*Assumptions!$F$21*L8</f>
        <v>0</v>
      </c>
      <c r="M22" s="28" t="n">
        <f aca="false">M10*Assumptions!$F$21*M8</f>
        <v>1500</v>
      </c>
      <c r="N22" s="28" t="n">
        <f aca="false">N10*Assumptions!$F$21*N8</f>
        <v>0</v>
      </c>
      <c r="O22" s="28" t="n">
        <f aca="false">O10*Assumptions!$F$21*O8</f>
        <v>0</v>
      </c>
      <c r="P22" s="28" t="n">
        <f aca="false">P10*Assumptions!$F$21*P8</f>
        <v>1680</v>
      </c>
      <c r="Q22" s="28" t="n">
        <f aca="false">Q10*Assumptions!$F$21*Q8</f>
        <v>0</v>
      </c>
      <c r="R22" s="28" t="n">
        <f aca="false">R10*Assumptions!$F$21*R8</f>
        <v>0</v>
      </c>
      <c r="S22" s="28" t="n">
        <f aca="false">S10*Assumptions!$F$21*S8</f>
        <v>1680</v>
      </c>
      <c r="T22" s="28" t="n">
        <f aca="false">T10*Assumptions!$F$21*T8</f>
        <v>0</v>
      </c>
      <c r="U22" s="28" t="n">
        <f aca="false">U10*Assumptions!$F$21*U8</f>
        <v>0</v>
      </c>
      <c r="V22" s="28" t="n">
        <f aca="false">V10*Assumptions!$F$21*V8</f>
        <v>1680</v>
      </c>
      <c r="W22" s="28" t="n">
        <f aca="false">W10*Assumptions!$F$21*W8</f>
        <v>0</v>
      </c>
      <c r="X22" s="28" t="n">
        <f aca="false">X10*Assumptions!$F$21*X8</f>
        <v>0</v>
      </c>
      <c r="Y22" s="28" t="n">
        <f aca="false">Y10*Assumptions!$F$21*Y8</f>
        <v>1680</v>
      </c>
      <c r="Z22" s="28" t="n">
        <f aca="false">Z10*Assumptions!$F$21*Z8</f>
        <v>0</v>
      </c>
      <c r="AA22" s="28" t="n">
        <f aca="false">AA10*Assumptions!$F$21*AA8</f>
        <v>0</v>
      </c>
      <c r="AB22" s="28" t="n">
        <f aca="false">AB10*Assumptions!$F$21*AB8</f>
        <v>1881.6</v>
      </c>
      <c r="AC22" s="28" t="n">
        <f aca="false">AC10*Assumptions!$F$21*AC8</f>
        <v>0</v>
      </c>
      <c r="AD22" s="28" t="n">
        <f aca="false">AD10*Assumptions!$F$21*AD8</f>
        <v>0</v>
      </c>
      <c r="AE22" s="28" t="n">
        <f aca="false">AE10*Assumptions!$F$21*AE8</f>
        <v>1881.6</v>
      </c>
      <c r="AF22" s="28" t="n">
        <f aca="false">AF10*Assumptions!$F$21*AF8</f>
        <v>0</v>
      </c>
      <c r="AG22" s="28" t="n">
        <f aca="false">AG10*Assumptions!$F$21*AG8</f>
        <v>0</v>
      </c>
      <c r="AH22" s="28" t="n">
        <f aca="false">AH10*Assumptions!$F$21*AH8</f>
        <v>1881.6</v>
      </c>
      <c r="AI22" s="28" t="n">
        <f aca="false">AI10*Assumptions!$F$21*AI8</f>
        <v>0</v>
      </c>
      <c r="AJ22" s="28" t="n">
        <f aca="false">AJ10*Assumptions!$F$21*AJ8</f>
        <v>0</v>
      </c>
      <c r="AK22" s="28" t="n">
        <f aca="false">AK10*Assumptions!$F$21*AK8</f>
        <v>1881.6</v>
      </c>
      <c r="AL22" s="28" t="n">
        <f aca="false">AL10*Assumptions!$F$21*AL8</f>
        <v>0</v>
      </c>
      <c r="AM22" s="28" t="n">
        <f aca="false">AM10*Assumptions!$F$21*AM8</f>
        <v>0</v>
      </c>
      <c r="AN22" s="28" t="n">
        <f aca="false">AN10*Assumptions!$F$21*AN8</f>
        <v>2107.392</v>
      </c>
      <c r="AO22" s="28" t="n">
        <f aca="false">AO10*Assumptions!$F$21*AO8</f>
        <v>0</v>
      </c>
      <c r="AP22" s="28" t="n">
        <f aca="false">AP10*Assumptions!$F$21*AP8</f>
        <v>0</v>
      </c>
      <c r="AQ22" s="28" t="n">
        <f aca="false">AQ10*Assumptions!$F$21*AQ8</f>
        <v>2107.392</v>
      </c>
      <c r="AR22" s="28" t="n">
        <f aca="false">AR10*Assumptions!$F$21*AR8</f>
        <v>0</v>
      </c>
      <c r="AS22" s="28" t="n">
        <f aca="false">AS10*Assumptions!$F$21*AS8</f>
        <v>0</v>
      </c>
      <c r="AT22" s="28" t="n">
        <f aca="false">AT10*Assumptions!$F$21*AT8</f>
        <v>2107.392</v>
      </c>
      <c r="AU22" s="28" t="n">
        <f aca="false">AU10*Assumptions!$F$21*AU8</f>
        <v>0</v>
      </c>
      <c r="AV22" s="28" t="n">
        <f aca="false">AV10*Assumptions!$F$21*AV8</f>
        <v>0</v>
      </c>
      <c r="AW22" s="28" t="n">
        <f aca="false">AW10*Assumptions!$F$21*AW8</f>
        <v>2107.392</v>
      </c>
      <c r="AX22" s="28" t="n">
        <f aca="false">AX10*Assumptions!$F$21*AX8</f>
        <v>0</v>
      </c>
      <c r="AY22" s="28" t="n">
        <f aca="false">AY10*Assumptions!$F$21*AY8</f>
        <v>0</v>
      </c>
      <c r="AZ22" s="28" t="n">
        <f aca="false">AZ10*Assumptions!$F$21*AZ8</f>
        <v>2360.27904</v>
      </c>
      <c r="BA22" s="28" t="n">
        <f aca="false">BA10*Assumptions!$F$21*BA8</f>
        <v>0</v>
      </c>
      <c r="BB22" s="28" t="n">
        <f aca="false">BB10*Assumptions!$F$21*BB8</f>
        <v>0</v>
      </c>
      <c r="BC22" s="28" t="n">
        <f aca="false">BC10*Assumptions!$F$21*BC8</f>
        <v>2360.27904</v>
      </c>
      <c r="BD22" s="28" t="n">
        <f aca="false">BD10*Assumptions!$F$21*BD8</f>
        <v>0</v>
      </c>
      <c r="BE22" s="28" t="n">
        <f aca="false">BE10*Assumptions!$F$21*BE8</f>
        <v>0</v>
      </c>
      <c r="BF22" s="28" t="n">
        <f aca="false">BF10*Assumptions!$F$21*BF8</f>
        <v>2360.27904</v>
      </c>
      <c r="BG22" s="28" t="n">
        <f aca="false">BG10*Assumptions!$F$21*BG8</f>
        <v>0</v>
      </c>
      <c r="BH22" s="28" t="n">
        <f aca="false">BH10*Assumptions!$F$21*BH8</f>
        <v>0</v>
      </c>
      <c r="BI22" s="28" t="n">
        <f aca="false">BI10*Assumptions!$F$21*BI8</f>
        <v>2360.27904</v>
      </c>
      <c r="BJ22" s="28" t="n">
        <f aca="false">BJ10*Assumptions!$F$21*BJ8</f>
        <v>0</v>
      </c>
    </row>
    <row r="23" customFormat="false" ht="15" hidden="false" customHeight="false" outlineLevel="0" collapsed="false">
      <c r="A23" s="4" t="s">
        <v>78</v>
      </c>
      <c r="B23" s="4"/>
      <c r="C23" s="28" t="n">
        <f aca="false">0</f>
        <v>0</v>
      </c>
      <c r="D23" s="28" t="n">
        <f aca="false">C10*Assumptions!$F$22*D8</f>
        <v>0</v>
      </c>
      <c r="E23" s="28" t="n">
        <f aca="false">D10*Assumptions!$F$22*E8</f>
        <v>0</v>
      </c>
      <c r="F23" s="28" t="n">
        <f aca="false">E10*Assumptions!$F$22*F8</f>
        <v>0</v>
      </c>
      <c r="G23" s="28" t="n">
        <f aca="false">F10*Assumptions!$F$22*G8</f>
        <v>0</v>
      </c>
      <c r="H23" s="28" t="n">
        <f aca="false">G10*Assumptions!$F$22*H8</f>
        <v>4000</v>
      </c>
      <c r="I23" s="28" t="n">
        <f aca="false">H10*Assumptions!$F$22*I8</f>
        <v>0</v>
      </c>
      <c r="J23" s="28" t="n">
        <f aca="false">I10*Assumptions!$F$22*J8</f>
        <v>0</v>
      </c>
      <c r="K23" s="28" t="n">
        <f aca="false">J10*Assumptions!$F$22*K8</f>
        <v>4000</v>
      </c>
      <c r="L23" s="28" t="n">
        <f aca="false">K10*Assumptions!$F$22*L8</f>
        <v>0</v>
      </c>
      <c r="M23" s="28" t="n">
        <f aca="false">L10*Assumptions!$F$22*M8</f>
        <v>0</v>
      </c>
      <c r="N23" s="28" t="n">
        <f aca="false">M10*Assumptions!$F$22*N8</f>
        <v>4000</v>
      </c>
      <c r="O23" s="28" t="n">
        <f aca="false">N10*Assumptions!$F$22*O8</f>
        <v>0</v>
      </c>
      <c r="P23" s="28" t="n">
        <f aca="false">O10*Assumptions!$F$22*P8</f>
        <v>0</v>
      </c>
      <c r="Q23" s="28" t="n">
        <f aca="false">P10*Assumptions!$F$22*Q8</f>
        <v>4480</v>
      </c>
      <c r="R23" s="28" t="n">
        <f aca="false">Q10*Assumptions!$F$22*R8</f>
        <v>0</v>
      </c>
      <c r="S23" s="28" t="n">
        <f aca="false">R10*Assumptions!$F$22*S8</f>
        <v>0</v>
      </c>
      <c r="T23" s="28" t="n">
        <f aca="false">S10*Assumptions!$F$22*T8</f>
        <v>4480</v>
      </c>
      <c r="U23" s="28" t="n">
        <f aca="false">T10*Assumptions!$F$22*U8</f>
        <v>0</v>
      </c>
      <c r="V23" s="28" t="n">
        <f aca="false">U10*Assumptions!$F$22*V8</f>
        <v>0</v>
      </c>
      <c r="W23" s="28" t="n">
        <f aca="false">V10*Assumptions!$F$22*W8</f>
        <v>4480</v>
      </c>
      <c r="X23" s="28" t="n">
        <f aca="false">W10*Assumptions!$F$22*X8</f>
        <v>0</v>
      </c>
      <c r="Y23" s="28" t="n">
        <f aca="false">X10*Assumptions!$F$22*Y8</f>
        <v>0</v>
      </c>
      <c r="Z23" s="28" t="n">
        <f aca="false">Y10*Assumptions!$F$22*Z8</f>
        <v>4480</v>
      </c>
      <c r="AA23" s="28" t="n">
        <f aca="false">Z10*Assumptions!$F$22*AA8</f>
        <v>0</v>
      </c>
      <c r="AB23" s="28" t="n">
        <f aca="false">AA10*Assumptions!$F$22*AB8</f>
        <v>0</v>
      </c>
      <c r="AC23" s="28" t="n">
        <f aca="false">AB10*Assumptions!$F$22*AC8</f>
        <v>5017.6</v>
      </c>
      <c r="AD23" s="28" t="n">
        <f aca="false">AC10*Assumptions!$F$22*AD8</f>
        <v>0</v>
      </c>
      <c r="AE23" s="28" t="n">
        <f aca="false">AD10*Assumptions!$F$22*AE8</f>
        <v>0</v>
      </c>
      <c r="AF23" s="28" t="n">
        <f aca="false">AE10*Assumptions!$F$22*AF8</f>
        <v>5017.6</v>
      </c>
      <c r="AG23" s="28" t="n">
        <f aca="false">AF10*Assumptions!$F$22*AG8</f>
        <v>0</v>
      </c>
      <c r="AH23" s="28" t="n">
        <f aca="false">AG10*Assumptions!$F$22*AH8</f>
        <v>0</v>
      </c>
      <c r="AI23" s="28" t="n">
        <f aca="false">AH10*Assumptions!$F$22*AI8</f>
        <v>5017.6</v>
      </c>
      <c r="AJ23" s="28" t="n">
        <f aca="false">AI10*Assumptions!$F$22*AJ8</f>
        <v>0</v>
      </c>
      <c r="AK23" s="28" t="n">
        <f aca="false">AJ10*Assumptions!$F$22*AK8</f>
        <v>0</v>
      </c>
      <c r="AL23" s="28" t="n">
        <f aca="false">AK10*Assumptions!$F$22*AL8</f>
        <v>5017.6</v>
      </c>
      <c r="AM23" s="28" t="n">
        <f aca="false">AL10*Assumptions!$F$22*AM8</f>
        <v>0</v>
      </c>
      <c r="AN23" s="28" t="n">
        <f aca="false">AM10*Assumptions!$F$22*AN8</f>
        <v>0</v>
      </c>
      <c r="AO23" s="28" t="n">
        <f aca="false">AN10*Assumptions!$F$22*AO8</f>
        <v>5619.712</v>
      </c>
      <c r="AP23" s="28" t="n">
        <f aca="false">AO10*Assumptions!$F$22*AP8</f>
        <v>0</v>
      </c>
      <c r="AQ23" s="28" t="n">
        <f aca="false">AP10*Assumptions!$F$22*AQ8</f>
        <v>0</v>
      </c>
      <c r="AR23" s="28" t="n">
        <f aca="false">AQ10*Assumptions!$F$22*AR8</f>
        <v>5619.712</v>
      </c>
      <c r="AS23" s="28" t="n">
        <f aca="false">AR10*Assumptions!$F$22*AS8</f>
        <v>0</v>
      </c>
      <c r="AT23" s="28" t="n">
        <f aca="false">AS10*Assumptions!$F$22*AT8</f>
        <v>0</v>
      </c>
      <c r="AU23" s="28" t="n">
        <f aca="false">AT10*Assumptions!$F$22*AU8</f>
        <v>5619.712</v>
      </c>
      <c r="AV23" s="28" t="n">
        <f aca="false">AU10*Assumptions!$F$22*AV8</f>
        <v>0</v>
      </c>
      <c r="AW23" s="28" t="n">
        <f aca="false">AV10*Assumptions!$F$22*AW8</f>
        <v>0</v>
      </c>
      <c r="AX23" s="28" t="n">
        <f aca="false">AW10*Assumptions!$F$22*AX8</f>
        <v>5619.712</v>
      </c>
      <c r="AY23" s="28" t="n">
        <f aca="false">AX10*Assumptions!$F$22*AY8</f>
        <v>0</v>
      </c>
      <c r="AZ23" s="28" t="n">
        <f aca="false">AY10*Assumptions!$F$22*AZ8</f>
        <v>0</v>
      </c>
      <c r="BA23" s="28" t="n">
        <f aca="false">AZ10*Assumptions!$F$22*BA8</f>
        <v>6294.07744</v>
      </c>
      <c r="BB23" s="28" t="n">
        <f aca="false">BA10*Assumptions!$F$22*BB8</f>
        <v>0</v>
      </c>
      <c r="BC23" s="28" t="n">
        <f aca="false">BB10*Assumptions!$F$22*BC8</f>
        <v>0</v>
      </c>
      <c r="BD23" s="28" t="n">
        <f aca="false">BC10*Assumptions!$F$22*BD8</f>
        <v>6294.07744</v>
      </c>
      <c r="BE23" s="28" t="n">
        <f aca="false">BD10*Assumptions!$F$22*BE8</f>
        <v>0</v>
      </c>
      <c r="BF23" s="28" t="n">
        <f aca="false">BE10*Assumptions!$F$22*BF8</f>
        <v>0</v>
      </c>
      <c r="BG23" s="28" t="n">
        <f aca="false">BF10*Assumptions!$F$22*BG8</f>
        <v>6294.07744</v>
      </c>
      <c r="BH23" s="28" t="n">
        <f aca="false">BG10*Assumptions!$F$22*BH8</f>
        <v>0</v>
      </c>
      <c r="BI23" s="28" t="n">
        <f aca="false">BH10*Assumptions!$F$22*BI8</f>
        <v>0</v>
      </c>
      <c r="BJ23" s="28" t="n">
        <f aca="false">BI10*Assumptions!$F$22*BJ8</f>
        <v>6294.07744</v>
      </c>
    </row>
    <row r="24" customFormat="false" ht="15" hidden="false" customHeight="false" outlineLevel="0" collapsed="false">
      <c r="A24" s="7" t="s">
        <v>165</v>
      </c>
      <c r="B24" s="4"/>
      <c r="C24" s="20" t="n">
        <f aca="false">C18+C19+C20+C21+C22+C23</f>
        <v>0</v>
      </c>
      <c r="D24" s="20" t="n">
        <f aca="false">D18+D19+D20+D21+D22+D23</f>
        <v>0</v>
      </c>
      <c r="E24" s="20" t="n">
        <f aca="false">E18+E19+E20+E21+E22+E23</f>
        <v>0</v>
      </c>
      <c r="F24" s="20" t="n">
        <f aca="false">F18+F19+F20+F21+F22+F23</f>
        <v>0</v>
      </c>
      <c r="G24" s="20" t="n">
        <f aca="false">G18+G19+G20+G21+G22+G23</f>
        <v>86200</v>
      </c>
      <c r="H24" s="20" t="n">
        <f aca="false">H18+H19+H20+H21+H22+H23</f>
        <v>46300</v>
      </c>
      <c r="I24" s="20" t="n">
        <f aca="false">I18+I19+I20+I21+I22+I23</f>
        <v>0</v>
      </c>
      <c r="J24" s="20" t="n">
        <f aca="false">J18+J19+J20+J21+J22+J23</f>
        <v>86200</v>
      </c>
      <c r="K24" s="20" t="n">
        <f aca="false">K18+K19+K20+K21+K22+K23</f>
        <v>46300</v>
      </c>
      <c r="L24" s="20" t="n">
        <f aca="false">L18+L19+L20+L21+L22+L23</f>
        <v>0</v>
      </c>
      <c r="M24" s="20" t="n">
        <f aca="false">M18+M19+M20+M21+M22+M23</f>
        <v>86200</v>
      </c>
      <c r="N24" s="20" t="n">
        <f aca="false">N18+N19+N20+N21+N22+N23</f>
        <v>46300</v>
      </c>
      <c r="O24" s="20" t="n">
        <f aca="false">O18+O19+O20+O21+O22+O23</f>
        <v>0</v>
      </c>
      <c r="P24" s="20" t="n">
        <f aca="false">P18+P19+P20+P21+P22+P23</f>
        <v>96544</v>
      </c>
      <c r="Q24" s="20" t="n">
        <f aca="false">Q18+Q19+Q20+Q21+Q22+Q23</f>
        <v>51856</v>
      </c>
      <c r="R24" s="20" t="n">
        <f aca="false">R18+R19+R20+R21+R22+R23</f>
        <v>0</v>
      </c>
      <c r="S24" s="20" t="n">
        <f aca="false">S18+S19+S20+S21+S22+S23</f>
        <v>96544</v>
      </c>
      <c r="T24" s="20" t="n">
        <f aca="false">T18+T19+T20+T21+T22+T23</f>
        <v>51856</v>
      </c>
      <c r="U24" s="20" t="n">
        <f aca="false">U18+U19+U20+U21+U22+U23</f>
        <v>0</v>
      </c>
      <c r="V24" s="20" t="n">
        <f aca="false">V18+V19+V20+V21+V22+V23</f>
        <v>96544</v>
      </c>
      <c r="W24" s="20" t="n">
        <f aca="false">W18+W19+W20+W21+W22+W23</f>
        <v>51856</v>
      </c>
      <c r="X24" s="20" t="n">
        <f aca="false">X18+X19+X20+X21+X22+X23</f>
        <v>0</v>
      </c>
      <c r="Y24" s="20" t="n">
        <f aca="false">Y18+Y19+Y20+Y21+Y22+Y23</f>
        <v>96544</v>
      </c>
      <c r="Z24" s="20" t="n">
        <f aca="false">Z18+Z19+Z20+Z21+Z22+Z23</f>
        <v>51856</v>
      </c>
      <c r="AA24" s="20" t="n">
        <f aca="false">AA18+AA19+AA20+AA21+AA22+AA23</f>
        <v>0</v>
      </c>
      <c r="AB24" s="20" t="n">
        <f aca="false">AB18+AB19+AB20+AB21+AB22+AB23</f>
        <v>108129.28</v>
      </c>
      <c r="AC24" s="20" t="n">
        <f aca="false">AC18+AC19+AC20+AC21+AC22+AC23</f>
        <v>58078.72</v>
      </c>
      <c r="AD24" s="20" t="n">
        <f aca="false">AD18+AD19+AD20+AD21+AD22+AD23</f>
        <v>0</v>
      </c>
      <c r="AE24" s="20" t="n">
        <f aca="false">AE18+AE19+AE20+AE21+AE22+AE23</f>
        <v>108129.28</v>
      </c>
      <c r="AF24" s="20" t="n">
        <f aca="false">AF18+AF19+AF20+AF21+AF22+AF23</f>
        <v>58078.72</v>
      </c>
      <c r="AG24" s="20" t="n">
        <f aca="false">AG18+AG19+AG20+AG21+AG22+AG23</f>
        <v>0</v>
      </c>
      <c r="AH24" s="20" t="n">
        <f aca="false">AH18+AH19+AH20+AH21+AH22+AH23</f>
        <v>108129.28</v>
      </c>
      <c r="AI24" s="20" t="n">
        <f aca="false">AI18+AI19+AI20+AI21+AI22+AI23</f>
        <v>58078.72</v>
      </c>
      <c r="AJ24" s="20" t="n">
        <f aca="false">AJ18+AJ19+AJ20+AJ21+AJ22+AJ23</f>
        <v>0</v>
      </c>
      <c r="AK24" s="20" t="n">
        <f aca="false">AK18+AK19+AK20+AK21+AK22+AK23</f>
        <v>108129.28</v>
      </c>
      <c r="AL24" s="20" t="n">
        <f aca="false">AL18+AL19+AL20+AL21+AL22+AL23</f>
        <v>58078.72</v>
      </c>
      <c r="AM24" s="20" t="n">
        <f aca="false">AM18+AM19+AM20+AM21+AM22+AM23</f>
        <v>0</v>
      </c>
      <c r="AN24" s="20" t="n">
        <f aca="false">AN18+AN19+AN20+AN21+AN22+AN23</f>
        <v>121104.7936</v>
      </c>
      <c r="AO24" s="20" t="n">
        <f aca="false">AO18+AO19+AO20+AO21+AO22+AO23</f>
        <v>65048.1664</v>
      </c>
      <c r="AP24" s="20" t="n">
        <f aca="false">AP18+AP19+AP20+AP21+AP22+AP23</f>
        <v>0</v>
      </c>
      <c r="AQ24" s="20" t="n">
        <f aca="false">AQ18+AQ19+AQ20+AQ21+AQ22+AQ23</f>
        <v>121104.7936</v>
      </c>
      <c r="AR24" s="20" t="n">
        <f aca="false">AR18+AR19+AR20+AR21+AR22+AR23</f>
        <v>65048.1664</v>
      </c>
      <c r="AS24" s="20" t="n">
        <f aca="false">AS18+AS19+AS20+AS21+AS22+AS23</f>
        <v>0</v>
      </c>
      <c r="AT24" s="20" t="n">
        <f aca="false">AT18+AT19+AT20+AT21+AT22+AT23</f>
        <v>121104.7936</v>
      </c>
      <c r="AU24" s="20" t="n">
        <f aca="false">AU18+AU19+AU20+AU21+AU22+AU23</f>
        <v>65048.1664</v>
      </c>
      <c r="AV24" s="20" t="n">
        <f aca="false">AV18+AV19+AV20+AV21+AV22+AV23</f>
        <v>0</v>
      </c>
      <c r="AW24" s="20" t="n">
        <f aca="false">AW18+AW19+AW20+AW21+AW22+AW23</f>
        <v>121104.7936</v>
      </c>
      <c r="AX24" s="20" t="n">
        <f aca="false">AX18+AX19+AX20+AX21+AX22+AX23</f>
        <v>65048.1664</v>
      </c>
      <c r="AY24" s="20" t="n">
        <f aca="false">AY18+AY19+AY20+AY21+AY22+AY23</f>
        <v>0</v>
      </c>
      <c r="AZ24" s="20" t="n">
        <f aca="false">AZ18+AZ19+AZ20+AZ21+AZ22+AZ23</f>
        <v>135637.368832</v>
      </c>
      <c r="BA24" s="20" t="n">
        <f aca="false">BA18+BA19+BA20+BA21+BA22+BA23</f>
        <v>72853.946368</v>
      </c>
      <c r="BB24" s="20" t="n">
        <f aca="false">BB18+BB19+BB20+BB21+BB22+BB23</f>
        <v>0</v>
      </c>
      <c r="BC24" s="20" t="n">
        <f aca="false">BC18+BC19+BC20+BC21+BC22+BC23</f>
        <v>135637.368832</v>
      </c>
      <c r="BD24" s="20" t="n">
        <f aca="false">BD18+BD19+BD20+BD21+BD22+BD23</f>
        <v>72853.946368</v>
      </c>
      <c r="BE24" s="20" t="n">
        <f aca="false">BE18+BE19+BE20+BE21+BE22+BE23</f>
        <v>0</v>
      </c>
      <c r="BF24" s="20" t="n">
        <f aca="false">BF18+BF19+BF20+BF21+BF22+BF23</f>
        <v>135637.368832</v>
      </c>
      <c r="BG24" s="20" t="n">
        <f aca="false">BG18+BG19+BG20+BG21+BG22+BG23</f>
        <v>72853.946368</v>
      </c>
      <c r="BH24" s="20" t="n">
        <f aca="false">BH18+BH19+BH20+BH21+BH22+BH23</f>
        <v>0</v>
      </c>
      <c r="BI24" s="20" t="n">
        <f aca="false">BI18+BI19+BI20+BI21+BI22+BI23</f>
        <v>135637.368832</v>
      </c>
      <c r="BJ24" s="20" t="n">
        <f aca="false">BJ18+BJ19+BJ20+BJ21+BJ22+BJ23</f>
        <v>72853.946368</v>
      </c>
    </row>
    <row r="25" customFormat="false" ht="15" hidden="false" customHeight="false" outlineLevel="0" collapsed="false">
      <c r="A25" s="4" t="s">
        <v>166</v>
      </c>
      <c r="B25" s="4"/>
      <c r="C25" s="28" t="n">
        <f aca="false">IF(C$3=Assumptions!$F$8,MIN(Assumptions!$F$39,C18+C19+C20),0)</f>
        <v>0</v>
      </c>
      <c r="D25" s="28" t="n">
        <f aca="false">IF(D$3=Assumptions!$F$8,MIN(Assumptions!$F$39,D18+D19+D20),0)</f>
        <v>0</v>
      </c>
      <c r="E25" s="28" t="n">
        <f aca="false">IF(E$3=Assumptions!$F$8,MIN(Assumptions!$F$39,E18+E19+E20),0)</f>
        <v>0</v>
      </c>
      <c r="F25" s="28" t="n">
        <f aca="false">IF(F$3=Assumptions!$F$8,MIN(Assumptions!$F$39,F18+F19+F20),0)</f>
        <v>0</v>
      </c>
      <c r="G25" s="28" t="n">
        <f aca="false">IF(G$3=Assumptions!$F$8,MIN(Assumptions!$F$39,G18+G19+G20),0)</f>
        <v>57000</v>
      </c>
      <c r="H25" s="28" t="n">
        <f aca="false">IF(H$3=Assumptions!$F$8,MIN(Assumptions!$F$39,H18+H19+H20),0)</f>
        <v>0</v>
      </c>
      <c r="I25" s="28" t="n">
        <f aca="false">IF(I$3=Assumptions!$F$8,MIN(Assumptions!$F$39,I18+I19+I20),0)</f>
        <v>0</v>
      </c>
      <c r="J25" s="28" t="n">
        <f aca="false">IF(J$3=Assumptions!$F$8,MIN(Assumptions!$F$39,J18+J19+J20),0)</f>
        <v>0</v>
      </c>
      <c r="K25" s="28" t="n">
        <f aca="false">IF(K$3=Assumptions!$F$8,MIN(Assumptions!$F$39,K18+K19+K20),0)</f>
        <v>0</v>
      </c>
      <c r="L25" s="28" t="n">
        <f aca="false">IF(L$3=Assumptions!$F$8,MIN(Assumptions!$F$39,L18+L19+L20),0)</f>
        <v>0</v>
      </c>
      <c r="M25" s="28" t="n">
        <f aca="false">IF(M$3=Assumptions!$F$8,MIN(Assumptions!$F$39,M18+M19+M20),0)</f>
        <v>0</v>
      </c>
      <c r="N25" s="28" t="n">
        <f aca="false">IF(N$3=Assumptions!$F$8,MIN(Assumptions!$F$39,N18+N19+N20),0)</f>
        <v>0</v>
      </c>
      <c r="O25" s="28" t="n">
        <f aca="false">IF(O$3=Assumptions!$F$8,MIN(Assumptions!$F$39,O18+O19+O20),0)</f>
        <v>0</v>
      </c>
      <c r="P25" s="28" t="n">
        <f aca="false">IF(P$3=Assumptions!$F$8,MIN(Assumptions!$F$39,P18+P19+P20),0)</f>
        <v>0</v>
      </c>
      <c r="Q25" s="28" t="n">
        <f aca="false">IF(Q$3=Assumptions!$F$8,MIN(Assumptions!$F$39,Q18+Q19+Q20),0)</f>
        <v>0</v>
      </c>
      <c r="R25" s="28" t="n">
        <f aca="false">IF(R$3=Assumptions!$F$8,MIN(Assumptions!$F$39,R18+R19+R20),0)</f>
        <v>0</v>
      </c>
      <c r="S25" s="28" t="n">
        <f aca="false">IF(S$3=Assumptions!$F$8,MIN(Assumptions!$F$39,S18+S19+S20),0)</f>
        <v>0</v>
      </c>
      <c r="T25" s="28" t="n">
        <f aca="false">IF(T$3=Assumptions!$F$8,MIN(Assumptions!$F$39,T18+T19+T20),0)</f>
        <v>0</v>
      </c>
      <c r="U25" s="28" t="n">
        <f aca="false">IF(U$3=Assumptions!$F$8,MIN(Assumptions!$F$39,U18+U19+U20),0)</f>
        <v>0</v>
      </c>
      <c r="V25" s="28" t="n">
        <f aca="false">IF(V$3=Assumptions!$F$8,MIN(Assumptions!$F$39,V18+V19+V20),0)</f>
        <v>0</v>
      </c>
      <c r="W25" s="28" t="n">
        <f aca="false">IF(W$3=Assumptions!$F$8,MIN(Assumptions!$F$39,W18+W19+W20),0)</f>
        <v>0</v>
      </c>
      <c r="X25" s="28" t="n">
        <f aca="false">IF(X$3=Assumptions!$F$8,MIN(Assumptions!$F$39,X18+X19+X20),0)</f>
        <v>0</v>
      </c>
      <c r="Y25" s="28" t="n">
        <f aca="false">IF(Y$3=Assumptions!$F$8,MIN(Assumptions!$F$39,Y18+Y19+Y20),0)</f>
        <v>0</v>
      </c>
      <c r="Z25" s="28" t="n">
        <f aca="false">IF(Z$3=Assumptions!$F$8,MIN(Assumptions!$F$39,Z18+Z19+Z20),0)</f>
        <v>0</v>
      </c>
      <c r="AA25" s="28" t="n">
        <f aca="false">IF(AA$3=Assumptions!$F$8,MIN(Assumptions!$F$39,AA18+AA19+AA20),0)</f>
        <v>0</v>
      </c>
      <c r="AB25" s="28" t="n">
        <f aca="false">IF(AB$3=Assumptions!$F$8,MIN(Assumptions!$F$39,AB18+AB19+AB20),0)</f>
        <v>0</v>
      </c>
      <c r="AC25" s="28" t="n">
        <f aca="false">IF(AC$3=Assumptions!$F$8,MIN(Assumptions!$F$39,AC18+AC19+AC20),0)</f>
        <v>0</v>
      </c>
      <c r="AD25" s="28" t="n">
        <f aca="false">IF(AD$3=Assumptions!$F$8,MIN(Assumptions!$F$39,AD18+AD19+AD20),0)</f>
        <v>0</v>
      </c>
      <c r="AE25" s="28" t="n">
        <f aca="false">IF(AE$3=Assumptions!$F$8,MIN(Assumptions!$F$39,AE18+AE19+AE20),0)</f>
        <v>0</v>
      </c>
      <c r="AF25" s="28" t="n">
        <f aca="false">IF(AF$3=Assumptions!$F$8,MIN(Assumptions!$F$39,AF18+AF19+AF20),0)</f>
        <v>0</v>
      </c>
      <c r="AG25" s="28" t="n">
        <f aca="false">IF(AG$3=Assumptions!$F$8,MIN(Assumptions!$F$39,AG18+AG19+AG20),0)</f>
        <v>0</v>
      </c>
      <c r="AH25" s="28" t="n">
        <f aca="false">IF(AH$3=Assumptions!$F$8,MIN(Assumptions!$F$39,AH18+AH19+AH20),0)</f>
        <v>0</v>
      </c>
      <c r="AI25" s="28" t="n">
        <f aca="false">IF(AI$3=Assumptions!$F$8,MIN(Assumptions!$F$39,AI18+AI19+AI20),0)</f>
        <v>0</v>
      </c>
      <c r="AJ25" s="28" t="n">
        <f aca="false">IF(AJ$3=Assumptions!$F$8,MIN(Assumptions!$F$39,AJ18+AJ19+AJ20),0)</f>
        <v>0</v>
      </c>
      <c r="AK25" s="28" t="n">
        <f aca="false">IF(AK$3=Assumptions!$F$8,MIN(Assumptions!$F$39,AK18+AK19+AK20),0)</f>
        <v>0</v>
      </c>
      <c r="AL25" s="28" t="n">
        <f aca="false">IF(AL$3=Assumptions!$F$8,MIN(Assumptions!$F$39,AL18+AL19+AL20),0)</f>
        <v>0</v>
      </c>
      <c r="AM25" s="28" t="n">
        <f aca="false">IF(AM$3=Assumptions!$F$8,MIN(Assumptions!$F$39,AM18+AM19+AM20),0)</f>
        <v>0</v>
      </c>
      <c r="AN25" s="28" t="n">
        <f aca="false">IF(AN$3=Assumptions!$F$8,MIN(Assumptions!$F$39,AN18+AN19+AN20),0)</f>
        <v>0</v>
      </c>
      <c r="AO25" s="28" t="n">
        <f aca="false">IF(AO$3=Assumptions!$F$8,MIN(Assumptions!$F$39,AO18+AO19+AO20),0)</f>
        <v>0</v>
      </c>
      <c r="AP25" s="28" t="n">
        <f aca="false">IF(AP$3=Assumptions!$F$8,MIN(Assumptions!$F$39,AP18+AP19+AP20),0)</f>
        <v>0</v>
      </c>
      <c r="AQ25" s="28" t="n">
        <f aca="false">IF(AQ$3=Assumptions!$F$8,MIN(Assumptions!$F$39,AQ18+AQ19+AQ20),0)</f>
        <v>0</v>
      </c>
      <c r="AR25" s="28" t="n">
        <f aca="false">IF(AR$3=Assumptions!$F$8,MIN(Assumptions!$F$39,AR18+AR19+AR20),0)</f>
        <v>0</v>
      </c>
      <c r="AS25" s="28" t="n">
        <f aca="false">IF(AS$3=Assumptions!$F$8,MIN(Assumptions!$F$39,AS18+AS19+AS20),0)</f>
        <v>0</v>
      </c>
      <c r="AT25" s="28" t="n">
        <f aca="false">IF(AT$3=Assumptions!$F$8,MIN(Assumptions!$F$39,AT18+AT19+AT20),0)</f>
        <v>0</v>
      </c>
      <c r="AU25" s="28" t="n">
        <f aca="false">IF(AU$3=Assumptions!$F$8,MIN(Assumptions!$F$39,AU18+AU19+AU20),0)</f>
        <v>0</v>
      </c>
      <c r="AV25" s="28" t="n">
        <f aca="false">IF(AV$3=Assumptions!$F$8,MIN(Assumptions!$F$39,AV18+AV19+AV20),0)</f>
        <v>0</v>
      </c>
      <c r="AW25" s="28" t="n">
        <f aca="false">IF(AW$3=Assumptions!$F$8,MIN(Assumptions!$F$39,AW18+AW19+AW20),0)</f>
        <v>0</v>
      </c>
      <c r="AX25" s="28" t="n">
        <f aca="false">IF(AX$3=Assumptions!$F$8,MIN(Assumptions!$F$39,AX18+AX19+AX20),0)</f>
        <v>0</v>
      </c>
      <c r="AY25" s="28" t="n">
        <f aca="false">IF(AY$3=Assumptions!$F$8,MIN(Assumptions!$F$39,AY18+AY19+AY20),0)</f>
        <v>0</v>
      </c>
      <c r="AZ25" s="28" t="n">
        <f aca="false">IF(AZ$3=Assumptions!$F$8,MIN(Assumptions!$F$39,AZ18+AZ19+AZ20),0)</f>
        <v>0</v>
      </c>
      <c r="BA25" s="28" t="n">
        <f aca="false">IF(BA$3=Assumptions!$F$8,MIN(Assumptions!$F$39,BA18+BA19+BA20),0)</f>
        <v>0</v>
      </c>
      <c r="BB25" s="28" t="n">
        <f aca="false">IF(BB$3=Assumptions!$F$8,MIN(Assumptions!$F$39,BB18+BB19+BB20),0)</f>
        <v>0</v>
      </c>
      <c r="BC25" s="28" t="n">
        <f aca="false">IF(BC$3=Assumptions!$F$8,MIN(Assumptions!$F$39,BC18+BC19+BC20),0)</f>
        <v>0</v>
      </c>
      <c r="BD25" s="28" t="n">
        <f aca="false">IF(BD$3=Assumptions!$F$8,MIN(Assumptions!$F$39,BD18+BD19+BD20),0)</f>
        <v>0</v>
      </c>
      <c r="BE25" s="28" t="n">
        <f aca="false">IF(BE$3=Assumptions!$F$8,MIN(Assumptions!$F$39,BE18+BE19+BE20),0)</f>
        <v>0</v>
      </c>
      <c r="BF25" s="28" t="n">
        <f aca="false">IF(BF$3=Assumptions!$F$8,MIN(Assumptions!$F$39,BF18+BF19+BF20),0)</f>
        <v>0</v>
      </c>
      <c r="BG25" s="28" t="n">
        <f aca="false">IF(BG$3=Assumptions!$F$8,MIN(Assumptions!$F$39,BG18+BG19+BG20),0)</f>
        <v>0</v>
      </c>
      <c r="BH25" s="28" t="n">
        <f aca="false">IF(BH$3=Assumptions!$F$8,MIN(Assumptions!$F$39,BH18+BH19+BH20),0)</f>
        <v>0</v>
      </c>
      <c r="BI25" s="28" t="n">
        <f aca="false">IF(BI$3=Assumptions!$F$8,MIN(Assumptions!$F$39,BI18+BI19+BI20),0)</f>
        <v>0</v>
      </c>
      <c r="BJ25" s="28" t="n">
        <f aca="false">IF(BJ$3=Assumptions!$F$8,MIN(Assumptions!$F$39,BJ18+BJ19+BJ20),0)</f>
        <v>0</v>
      </c>
    </row>
    <row r="26" customFormat="false" ht="15" hidden="false" customHeight="false" outlineLevel="0" collapsed="false">
      <c r="A26" s="4" t="s">
        <v>167</v>
      </c>
      <c r="B26" s="4"/>
      <c r="C26" s="28" t="n">
        <f aca="false">C24-C25</f>
        <v>0</v>
      </c>
      <c r="D26" s="28" t="n">
        <f aca="false">D24-D25</f>
        <v>0</v>
      </c>
      <c r="E26" s="28" t="n">
        <f aca="false">E24-E25</f>
        <v>0</v>
      </c>
      <c r="F26" s="28" t="n">
        <f aca="false">F24-F25</f>
        <v>0</v>
      </c>
      <c r="G26" s="28" t="n">
        <f aca="false">G24-G25</f>
        <v>29200</v>
      </c>
      <c r="H26" s="28" t="n">
        <f aca="false">H24-H25</f>
        <v>46300</v>
      </c>
      <c r="I26" s="28" t="n">
        <f aca="false">I24-I25</f>
        <v>0</v>
      </c>
      <c r="J26" s="28" t="n">
        <f aca="false">J24-J25</f>
        <v>86200</v>
      </c>
      <c r="K26" s="28" t="n">
        <f aca="false">K24-K25</f>
        <v>46300</v>
      </c>
      <c r="L26" s="28" t="n">
        <f aca="false">L24-L25</f>
        <v>0</v>
      </c>
      <c r="M26" s="28" t="n">
        <f aca="false">M24-M25</f>
        <v>86200</v>
      </c>
      <c r="N26" s="28" t="n">
        <f aca="false">N24-N25</f>
        <v>46300</v>
      </c>
      <c r="O26" s="28" t="n">
        <f aca="false">O24-O25</f>
        <v>0</v>
      </c>
      <c r="P26" s="28" t="n">
        <f aca="false">P24-P25</f>
        <v>96544</v>
      </c>
      <c r="Q26" s="28" t="n">
        <f aca="false">Q24-Q25</f>
        <v>51856</v>
      </c>
      <c r="R26" s="28" t="n">
        <f aca="false">R24-R25</f>
        <v>0</v>
      </c>
      <c r="S26" s="28" t="n">
        <f aca="false">S24-S25</f>
        <v>96544</v>
      </c>
      <c r="T26" s="28" t="n">
        <f aca="false">T24-T25</f>
        <v>51856</v>
      </c>
      <c r="U26" s="28" t="n">
        <f aca="false">U24-U25</f>
        <v>0</v>
      </c>
      <c r="V26" s="28" t="n">
        <f aca="false">V24-V25</f>
        <v>96544</v>
      </c>
      <c r="W26" s="28" t="n">
        <f aca="false">W24-W25</f>
        <v>51856</v>
      </c>
      <c r="X26" s="28" t="n">
        <f aca="false">X24-X25</f>
        <v>0</v>
      </c>
      <c r="Y26" s="28" t="n">
        <f aca="false">Y24-Y25</f>
        <v>96544</v>
      </c>
      <c r="Z26" s="28" t="n">
        <f aca="false">Z24-Z25</f>
        <v>51856</v>
      </c>
      <c r="AA26" s="28" t="n">
        <f aca="false">AA24-AA25</f>
        <v>0</v>
      </c>
      <c r="AB26" s="28" t="n">
        <f aca="false">AB24-AB25</f>
        <v>108129.28</v>
      </c>
      <c r="AC26" s="28" t="n">
        <f aca="false">AC24-AC25</f>
        <v>58078.72</v>
      </c>
      <c r="AD26" s="28" t="n">
        <f aca="false">AD24-AD25</f>
        <v>0</v>
      </c>
      <c r="AE26" s="28" t="n">
        <f aca="false">AE24-AE25</f>
        <v>108129.28</v>
      </c>
      <c r="AF26" s="28" t="n">
        <f aca="false">AF24-AF25</f>
        <v>58078.72</v>
      </c>
      <c r="AG26" s="28" t="n">
        <f aca="false">AG24-AG25</f>
        <v>0</v>
      </c>
      <c r="AH26" s="28" t="n">
        <f aca="false">AH24-AH25</f>
        <v>108129.28</v>
      </c>
      <c r="AI26" s="28" t="n">
        <f aca="false">AI24-AI25</f>
        <v>58078.72</v>
      </c>
      <c r="AJ26" s="28" t="n">
        <f aca="false">AJ24-AJ25</f>
        <v>0</v>
      </c>
      <c r="AK26" s="28" t="n">
        <f aca="false">AK24-AK25</f>
        <v>108129.28</v>
      </c>
      <c r="AL26" s="28" t="n">
        <f aca="false">AL24-AL25</f>
        <v>58078.72</v>
      </c>
      <c r="AM26" s="28" t="n">
        <f aca="false">AM24-AM25</f>
        <v>0</v>
      </c>
      <c r="AN26" s="28" t="n">
        <f aca="false">AN24-AN25</f>
        <v>121104.7936</v>
      </c>
      <c r="AO26" s="28" t="n">
        <f aca="false">AO24-AO25</f>
        <v>65048.1664</v>
      </c>
      <c r="AP26" s="28" t="n">
        <f aca="false">AP24-AP25</f>
        <v>0</v>
      </c>
      <c r="AQ26" s="28" t="n">
        <f aca="false">AQ24-AQ25</f>
        <v>121104.7936</v>
      </c>
      <c r="AR26" s="28" t="n">
        <f aca="false">AR24-AR25</f>
        <v>65048.1664</v>
      </c>
      <c r="AS26" s="28" t="n">
        <f aca="false">AS24-AS25</f>
        <v>0</v>
      </c>
      <c r="AT26" s="28" t="n">
        <f aca="false">AT24-AT25</f>
        <v>121104.7936</v>
      </c>
      <c r="AU26" s="28" t="n">
        <f aca="false">AU24-AU25</f>
        <v>65048.1664</v>
      </c>
      <c r="AV26" s="28" t="n">
        <f aca="false">AV24-AV25</f>
        <v>0</v>
      </c>
      <c r="AW26" s="28" t="n">
        <f aca="false">AW24-AW25</f>
        <v>121104.7936</v>
      </c>
      <c r="AX26" s="28" t="n">
        <f aca="false">AX24-AX25</f>
        <v>65048.1664</v>
      </c>
      <c r="AY26" s="28" t="n">
        <f aca="false">AY24-AY25</f>
        <v>0</v>
      </c>
      <c r="AZ26" s="28" t="n">
        <f aca="false">AZ24-AZ25</f>
        <v>135637.368832</v>
      </c>
      <c r="BA26" s="28" t="n">
        <f aca="false">BA24-BA25</f>
        <v>72853.946368</v>
      </c>
      <c r="BB26" s="28" t="n">
        <f aca="false">BB24-BB25</f>
        <v>0</v>
      </c>
      <c r="BC26" s="28" t="n">
        <f aca="false">BC24-BC25</f>
        <v>135637.368832</v>
      </c>
      <c r="BD26" s="28" t="n">
        <f aca="false">BD24-BD25</f>
        <v>72853.946368</v>
      </c>
      <c r="BE26" s="28" t="n">
        <f aca="false">BE24-BE25</f>
        <v>0</v>
      </c>
      <c r="BF26" s="28" t="n">
        <f aca="false">BF24-BF25</f>
        <v>135637.368832</v>
      </c>
      <c r="BG26" s="28" t="n">
        <f aca="false">BG24-BG25</f>
        <v>72853.946368</v>
      </c>
      <c r="BH26" s="28" t="n">
        <f aca="false">BH24-BH25</f>
        <v>0</v>
      </c>
      <c r="BI26" s="28" t="n">
        <f aca="false">BI24-BI25</f>
        <v>135637.368832</v>
      </c>
      <c r="BJ26" s="28" t="n">
        <f aca="false">BJ24-BJ25</f>
        <v>72853.946368</v>
      </c>
    </row>
    <row r="27" customFormat="false" ht="15" hidden="false" customHeight="false" outlineLevel="0" collapsed="false">
      <c r="A27" s="15" t="s">
        <v>168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</row>
    <row r="28" customFormat="false" ht="15" hidden="false" customHeight="false" outlineLevel="0" collapsed="false">
      <c r="A28" s="4" t="s">
        <v>169</v>
      </c>
      <c r="B28" s="4"/>
      <c r="C28" s="27" t="n">
        <f aca="false">IF(C$3&gt;=Assumptions!$F$8-1,1,0)</f>
        <v>0</v>
      </c>
      <c r="D28" s="27" t="n">
        <f aca="false">IF(D$3&gt;=Assumptions!$F$8-1,1,0)</f>
        <v>0</v>
      </c>
      <c r="E28" s="27" t="n">
        <f aca="false">IF(E$3&gt;=Assumptions!$F$8-1,1,0)</f>
        <v>0</v>
      </c>
      <c r="F28" s="27" t="n">
        <f aca="false">IF(F$3&gt;=Assumptions!$F$8-1,1,0)</f>
        <v>1</v>
      </c>
      <c r="G28" s="27" t="n">
        <f aca="false">IF(G$3&gt;=Assumptions!$F$8-1,1,0)</f>
        <v>1</v>
      </c>
      <c r="H28" s="27" t="n">
        <f aca="false">IF(H$3&gt;=Assumptions!$F$8-1,1,0)</f>
        <v>1</v>
      </c>
      <c r="I28" s="27" t="n">
        <f aca="false">IF(I$3&gt;=Assumptions!$F$8-1,1,0)</f>
        <v>1</v>
      </c>
      <c r="J28" s="27" t="n">
        <f aca="false">IF(J$3&gt;=Assumptions!$F$8-1,1,0)</f>
        <v>1</v>
      </c>
      <c r="K28" s="27" t="n">
        <f aca="false">IF(K$3&gt;=Assumptions!$F$8-1,1,0)</f>
        <v>1</v>
      </c>
      <c r="L28" s="27" t="n">
        <f aca="false">IF(L$3&gt;=Assumptions!$F$8-1,1,0)</f>
        <v>1</v>
      </c>
      <c r="M28" s="27" t="n">
        <f aca="false">IF(M$3&gt;=Assumptions!$F$8-1,1,0)</f>
        <v>1</v>
      </c>
      <c r="N28" s="27" t="n">
        <f aca="false">IF(N$3&gt;=Assumptions!$F$8-1,1,0)</f>
        <v>1</v>
      </c>
      <c r="O28" s="27" t="n">
        <f aca="false">IF(O$3&gt;=Assumptions!$F$8-1,1,0)</f>
        <v>1</v>
      </c>
      <c r="P28" s="27" t="n">
        <f aca="false">IF(P$3&gt;=Assumptions!$F$8-1,1,0)</f>
        <v>1</v>
      </c>
      <c r="Q28" s="27" t="n">
        <f aca="false">IF(Q$3&gt;=Assumptions!$F$8-1,1,0)</f>
        <v>1</v>
      </c>
      <c r="R28" s="27" t="n">
        <f aca="false">IF(R$3&gt;=Assumptions!$F$8-1,1,0)</f>
        <v>1</v>
      </c>
      <c r="S28" s="27" t="n">
        <f aca="false">IF(S$3&gt;=Assumptions!$F$8-1,1,0)</f>
        <v>1</v>
      </c>
      <c r="T28" s="27" t="n">
        <f aca="false">IF(T$3&gt;=Assumptions!$F$8-1,1,0)</f>
        <v>1</v>
      </c>
      <c r="U28" s="27" t="n">
        <f aca="false">IF(U$3&gt;=Assumptions!$F$8-1,1,0)</f>
        <v>1</v>
      </c>
      <c r="V28" s="27" t="n">
        <f aca="false">IF(V$3&gt;=Assumptions!$F$8-1,1,0)</f>
        <v>1</v>
      </c>
      <c r="W28" s="27" t="n">
        <f aca="false">IF(W$3&gt;=Assumptions!$F$8-1,1,0)</f>
        <v>1</v>
      </c>
      <c r="X28" s="27" t="n">
        <f aca="false">IF(X$3&gt;=Assumptions!$F$8-1,1,0)</f>
        <v>1</v>
      </c>
      <c r="Y28" s="27" t="n">
        <f aca="false">IF(Y$3&gt;=Assumptions!$F$8-1,1,0)</f>
        <v>1</v>
      </c>
      <c r="Z28" s="27" t="n">
        <f aca="false">IF(Z$3&gt;=Assumptions!$F$8-1,1,0)</f>
        <v>1</v>
      </c>
      <c r="AA28" s="27" t="n">
        <f aca="false">IF(AA$3&gt;=Assumptions!$F$8-1,1,0)</f>
        <v>1</v>
      </c>
      <c r="AB28" s="27" t="n">
        <f aca="false">IF(AB$3&gt;=Assumptions!$F$8-1,1,0)</f>
        <v>1</v>
      </c>
      <c r="AC28" s="27" t="n">
        <f aca="false">IF(AC$3&gt;=Assumptions!$F$8-1,1,0)</f>
        <v>1</v>
      </c>
      <c r="AD28" s="27" t="n">
        <f aca="false">IF(AD$3&gt;=Assumptions!$F$8-1,1,0)</f>
        <v>1</v>
      </c>
      <c r="AE28" s="27" t="n">
        <f aca="false">IF(AE$3&gt;=Assumptions!$F$8-1,1,0)</f>
        <v>1</v>
      </c>
      <c r="AF28" s="27" t="n">
        <f aca="false">IF(AF$3&gt;=Assumptions!$F$8-1,1,0)</f>
        <v>1</v>
      </c>
      <c r="AG28" s="27" t="n">
        <f aca="false">IF(AG$3&gt;=Assumptions!$F$8-1,1,0)</f>
        <v>1</v>
      </c>
      <c r="AH28" s="27" t="n">
        <f aca="false">IF(AH$3&gt;=Assumptions!$F$8-1,1,0)</f>
        <v>1</v>
      </c>
      <c r="AI28" s="27" t="n">
        <f aca="false">IF(AI$3&gt;=Assumptions!$F$8-1,1,0)</f>
        <v>1</v>
      </c>
      <c r="AJ28" s="27" t="n">
        <f aca="false">IF(AJ$3&gt;=Assumptions!$F$8-1,1,0)</f>
        <v>1</v>
      </c>
      <c r="AK28" s="27" t="n">
        <f aca="false">IF(AK$3&gt;=Assumptions!$F$8-1,1,0)</f>
        <v>1</v>
      </c>
      <c r="AL28" s="27" t="n">
        <f aca="false">IF(AL$3&gt;=Assumptions!$F$8-1,1,0)</f>
        <v>1</v>
      </c>
      <c r="AM28" s="27" t="n">
        <f aca="false">IF(AM$3&gt;=Assumptions!$F$8-1,1,0)</f>
        <v>1</v>
      </c>
      <c r="AN28" s="27" t="n">
        <f aca="false">IF(AN$3&gt;=Assumptions!$F$8-1,1,0)</f>
        <v>1</v>
      </c>
      <c r="AO28" s="27" t="n">
        <f aca="false">IF(AO$3&gt;=Assumptions!$F$8-1,1,0)</f>
        <v>1</v>
      </c>
      <c r="AP28" s="27" t="n">
        <f aca="false">IF(AP$3&gt;=Assumptions!$F$8-1,1,0)</f>
        <v>1</v>
      </c>
      <c r="AQ28" s="27" t="n">
        <f aca="false">IF(AQ$3&gt;=Assumptions!$F$8-1,1,0)</f>
        <v>1</v>
      </c>
      <c r="AR28" s="27" t="n">
        <f aca="false">IF(AR$3&gt;=Assumptions!$F$8-1,1,0)</f>
        <v>1</v>
      </c>
      <c r="AS28" s="27" t="n">
        <f aca="false">IF(AS$3&gt;=Assumptions!$F$8-1,1,0)</f>
        <v>1</v>
      </c>
      <c r="AT28" s="27" t="n">
        <f aca="false">IF(AT$3&gt;=Assumptions!$F$8-1,1,0)</f>
        <v>1</v>
      </c>
      <c r="AU28" s="27" t="n">
        <f aca="false">IF(AU$3&gt;=Assumptions!$F$8-1,1,0)</f>
        <v>1</v>
      </c>
      <c r="AV28" s="27" t="n">
        <f aca="false">IF(AV$3&gt;=Assumptions!$F$8-1,1,0)</f>
        <v>1</v>
      </c>
      <c r="AW28" s="27" t="n">
        <f aca="false">IF(AW$3&gt;=Assumptions!$F$8-1,1,0)</f>
        <v>1</v>
      </c>
      <c r="AX28" s="27" t="n">
        <f aca="false">IF(AX$3&gt;=Assumptions!$F$8-1,1,0)</f>
        <v>1</v>
      </c>
      <c r="AY28" s="27" t="n">
        <f aca="false">IF(AY$3&gt;=Assumptions!$F$8-1,1,0)</f>
        <v>1</v>
      </c>
      <c r="AZ28" s="27" t="n">
        <f aca="false">IF(AZ$3&gt;=Assumptions!$F$8-1,1,0)</f>
        <v>1</v>
      </c>
      <c r="BA28" s="27" t="n">
        <f aca="false">IF(BA$3&gt;=Assumptions!$F$8-1,1,0)</f>
        <v>1</v>
      </c>
      <c r="BB28" s="27" t="n">
        <f aca="false">IF(BB$3&gt;=Assumptions!$F$8-1,1,0)</f>
        <v>1</v>
      </c>
      <c r="BC28" s="27" t="n">
        <f aca="false">IF(BC$3&gt;=Assumptions!$F$8-1,1,0)</f>
        <v>1</v>
      </c>
      <c r="BD28" s="27" t="n">
        <f aca="false">IF(BD$3&gt;=Assumptions!$F$8-1,1,0)</f>
        <v>1</v>
      </c>
      <c r="BE28" s="27" t="n">
        <f aca="false">IF(BE$3&gt;=Assumptions!$F$8-1,1,0)</f>
        <v>1</v>
      </c>
      <c r="BF28" s="27" t="n">
        <f aca="false">IF(BF$3&gt;=Assumptions!$F$8-1,1,0)</f>
        <v>1</v>
      </c>
      <c r="BG28" s="27" t="n">
        <f aca="false">IF(BG$3&gt;=Assumptions!$F$8-1,1,0)</f>
        <v>1</v>
      </c>
      <c r="BH28" s="27" t="n">
        <f aca="false">IF(BH$3&gt;=Assumptions!$F$8-1,1,0)</f>
        <v>1</v>
      </c>
      <c r="BI28" s="27" t="n">
        <f aca="false">IF(BI$3&gt;=Assumptions!$F$8-1,1,0)</f>
        <v>1</v>
      </c>
      <c r="BJ28" s="27" t="n">
        <f aca="false">IF(BJ$3&gt;=Assumptions!$F$8-1,1,0)</f>
        <v>1</v>
      </c>
    </row>
    <row r="29" customFormat="false" ht="15" hidden="false" customHeight="false" outlineLevel="0" collapsed="false">
      <c r="A29" s="4" t="s">
        <v>170</v>
      </c>
      <c r="B29" s="4"/>
      <c r="C29" s="28" t="n">
        <f aca="false">C28*Assumptions!$F$28*C8</f>
        <v>0</v>
      </c>
      <c r="D29" s="28" t="n">
        <f aca="false">D28*Assumptions!$F$28*D8</f>
        <v>0</v>
      </c>
      <c r="E29" s="28" t="n">
        <f aca="false">E28*Assumptions!$F$28*E8</f>
        <v>0</v>
      </c>
      <c r="F29" s="28" t="n">
        <f aca="false">F28*Assumptions!$F$28*F8</f>
        <v>9000</v>
      </c>
      <c r="G29" s="28" t="n">
        <f aca="false">G28*Assumptions!$F$28*G8</f>
        <v>9000</v>
      </c>
      <c r="H29" s="28" t="n">
        <f aca="false">H28*Assumptions!$F$28*H8</f>
        <v>9000</v>
      </c>
      <c r="I29" s="28" t="n">
        <f aca="false">I28*Assumptions!$F$28*I8</f>
        <v>9000</v>
      </c>
      <c r="J29" s="28" t="n">
        <f aca="false">J28*Assumptions!$F$28*J8</f>
        <v>9000</v>
      </c>
      <c r="K29" s="28" t="n">
        <f aca="false">K28*Assumptions!$F$28*K8</f>
        <v>9000</v>
      </c>
      <c r="L29" s="28" t="n">
        <f aca="false">L28*Assumptions!$F$28*L8</f>
        <v>9000</v>
      </c>
      <c r="M29" s="28" t="n">
        <f aca="false">M28*Assumptions!$F$28*M8</f>
        <v>9000</v>
      </c>
      <c r="N29" s="28" t="n">
        <f aca="false">N28*Assumptions!$F$28*N8</f>
        <v>9000</v>
      </c>
      <c r="O29" s="28" t="n">
        <f aca="false">O28*Assumptions!$F$28*O8</f>
        <v>10080</v>
      </c>
      <c r="P29" s="28" t="n">
        <f aca="false">P28*Assumptions!$F$28*P8</f>
        <v>10080</v>
      </c>
      <c r="Q29" s="28" t="n">
        <f aca="false">Q28*Assumptions!$F$28*Q8</f>
        <v>10080</v>
      </c>
      <c r="R29" s="28" t="n">
        <f aca="false">R28*Assumptions!$F$28*R8</f>
        <v>10080</v>
      </c>
      <c r="S29" s="28" t="n">
        <f aca="false">S28*Assumptions!$F$28*S8</f>
        <v>10080</v>
      </c>
      <c r="T29" s="28" t="n">
        <f aca="false">T28*Assumptions!$F$28*T8</f>
        <v>10080</v>
      </c>
      <c r="U29" s="28" t="n">
        <f aca="false">U28*Assumptions!$F$28*U8</f>
        <v>10080</v>
      </c>
      <c r="V29" s="28" t="n">
        <f aca="false">V28*Assumptions!$F$28*V8</f>
        <v>10080</v>
      </c>
      <c r="W29" s="28" t="n">
        <f aca="false">W28*Assumptions!$F$28*W8</f>
        <v>10080</v>
      </c>
      <c r="X29" s="28" t="n">
        <f aca="false">X28*Assumptions!$F$28*X8</f>
        <v>10080</v>
      </c>
      <c r="Y29" s="28" t="n">
        <f aca="false">Y28*Assumptions!$F$28*Y8</f>
        <v>10080</v>
      </c>
      <c r="Z29" s="28" t="n">
        <f aca="false">Z28*Assumptions!$F$28*Z8</f>
        <v>10080</v>
      </c>
      <c r="AA29" s="28" t="n">
        <f aca="false">AA28*Assumptions!$F$28*AA8</f>
        <v>11289.6</v>
      </c>
      <c r="AB29" s="28" t="n">
        <f aca="false">AB28*Assumptions!$F$28*AB8</f>
        <v>11289.6</v>
      </c>
      <c r="AC29" s="28" t="n">
        <f aca="false">AC28*Assumptions!$F$28*AC8</f>
        <v>11289.6</v>
      </c>
      <c r="AD29" s="28" t="n">
        <f aca="false">AD28*Assumptions!$F$28*AD8</f>
        <v>11289.6</v>
      </c>
      <c r="AE29" s="28" t="n">
        <f aca="false">AE28*Assumptions!$F$28*AE8</f>
        <v>11289.6</v>
      </c>
      <c r="AF29" s="28" t="n">
        <f aca="false">AF28*Assumptions!$F$28*AF8</f>
        <v>11289.6</v>
      </c>
      <c r="AG29" s="28" t="n">
        <f aca="false">AG28*Assumptions!$F$28*AG8</f>
        <v>11289.6</v>
      </c>
      <c r="AH29" s="28" t="n">
        <f aca="false">AH28*Assumptions!$F$28*AH8</f>
        <v>11289.6</v>
      </c>
      <c r="AI29" s="28" t="n">
        <f aca="false">AI28*Assumptions!$F$28*AI8</f>
        <v>11289.6</v>
      </c>
      <c r="AJ29" s="28" t="n">
        <f aca="false">AJ28*Assumptions!$F$28*AJ8</f>
        <v>11289.6</v>
      </c>
      <c r="AK29" s="28" t="n">
        <f aca="false">AK28*Assumptions!$F$28*AK8</f>
        <v>11289.6</v>
      </c>
      <c r="AL29" s="28" t="n">
        <f aca="false">AL28*Assumptions!$F$28*AL8</f>
        <v>11289.6</v>
      </c>
      <c r="AM29" s="28" t="n">
        <f aca="false">AM28*Assumptions!$F$28*AM8</f>
        <v>12644.352</v>
      </c>
      <c r="AN29" s="28" t="n">
        <f aca="false">AN28*Assumptions!$F$28*AN8</f>
        <v>12644.352</v>
      </c>
      <c r="AO29" s="28" t="n">
        <f aca="false">AO28*Assumptions!$F$28*AO8</f>
        <v>12644.352</v>
      </c>
      <c r="AP29" s="28" t="n">
        <f aca="false">AP28*Assumptions!$F$28*AP8</f>
        <v>12644.352</v>
      </c>
      <c r="AQ29" s="28" t="n">
        <f aca="false">AQ28*Assumptions!$F$28*AQ8</f>
        <v>12644.352</v>
      </c>
      <c r="AR29" s="28" t="n">
        <f aca="false">AR28*Assumptions!$F$28*AR8</f>
        <v>12644.352</v>
      </c>
      <c r="AS29" s="28" t="n">
        <f aca="false">AS28*Assumptions!$F$28*AS8</f>
        <v>12644.352</v>
      </c>
      <c r="AT29" s="28" t="n">
        <f aca="false">AT28*Assumptions!$F$28*AT8</f>
        <v>12644.352</v>
      </c>
      <c r="AU29" s="28" t="n">
        <f aca="false">AU28*Assumptions!$F$28*AU8</f>
        <v>12644.352</v>
      </c>
      <c r="AV29" s="28" t="n">
        <f aca="false">AV28*Assumptions!$F$28*AV8</f>
        <v>12644.352</v>
      </c>
      <c r="AW29" s="28" t="n">
        <f aca="false">AW28*Assumptions!$F$28*AW8</f>
        <v>12644.352</v>
      </c>
      <c r="AX29" s="28" t="n">
        <f aca="false">AX28*Assumptions!$F$28*AX8</f>
        <v>12644.352</v>
      </c>
      <c r="AY29" s="28" t="n">
        <f aca="false">AY28*Assumptions!$F$28*AY8</f>
        <v>14161.67424</v>
      </c>
      <c r="AZ29" s="28" t="n">
        <f aca="false">AZ28*Assumptions!$F$28*AZ8</f>
        <v>14161.67424</v>
      </c>
      <c r="BA29" s="28" t="n">
        <f aca="false">BA28*Assumptions!$F$28*BA8</f>
        <v>14161.67424</v>
      </c>
      <c r="BB29" s="28" t="n">
        <f aca="false">BB28*Assumptions!$F$28*BB8</f>
        <v>14161.67424</v>
      </c>
      <c r="BC29" s="28" t="n">
        <f aca="false">BC28*Assumptions!$F$28*BC8</f>
        <v>14161.67424</v>
      </c>
      <c r="BD29" s="28" t="n">
        <f aca="false">BD28*Assumptions!$F$28*BD8</f>
        <v>14161.67424</v>
      </c>
      <c r="BE29" s="28" t="n">
        <f aca="false">BE28*Assumptions!$F$28*BE8</f>
        <v>14161.67424</v>
      </c>
      <c r="BF29" s="28" t="n">
        <f aca="false">BF28*Assumptions!$F$28*BF8</f>
        <v>14161.67424</v>
      </c>
      <c r="BG29" s="28" t="n">
        <f aca="false">BG28*Assumptions!$F$28*BG8</f>
        <v>14161.67424</v>
      </c>
      <c r="BH29" s="28" t="n">
        <f aca="false">BH28*Assumptions!$F$28*BH8</f>
        <v>14161.67424</v>
      </c>
      <c r="BI29" s="28" t="n">
        <f aca="false">BI28*Assumptions!$F$28*BI8</f>
        <v>14161.67424</v>
      </c>
      <c r="BJ29" s="28" t="n">
        <f aca="false">BJ28*Assumptions!$F$28*BJ8</f>
        <v>14161.67424</v>
      </c>
    </row>
    <row r="30" customFormat="false" ht="15" hidden="false" customHeight="false" outlineLevel="0" collapsed="false">
      <c r="A30" s="4" t="s">
        <v>95</v>
      </c>
      <c r="B30" s="4"/>
      <c r="C30" s="28" t="n">
        <f aca="false">C28*Assumptions!$F$30*C8</f>
        <v>0</v>
      </c>
      <c r="D30" s="28" t="n">
        <f aca="false">D28*Assumptions!$F$30*D8</f>
        <v>0</v>
      </c>
      <c r="E30" s="28" t="n">
        <f aca="false">E28*Assumptions!$F$30*E8</f>
        <v>0</v>
      </c>
      <c r="F30" s="28" t="n">
        <f aca="false">F28*Assumptions!$F$30*F8</f>
        <v>600</v>
      </c>
      <c r="G30" s="28" t="n">
        <f aca="false">G28*Assumptions!$F$30*G8</f>
        <v>600</v>
      </c>
      <c r="H30" s="28" t="n">
        <f aca="false">H28*Assumptions!$F$30*H8</f>
        <v>600</v>
      </c>
      <c r="I30" s="28" t="n">
        <f aca="false">I28*Assumptions!$F$30*I8</f>
        <v>600</v>
      </c>
      <c r="J30" s="28" t="n">
        <f aca="false">J28*Assumptions!$F$30*J8</f>
        <v>600</v>
      </c>
      <c r="K30" s="28" t="n">
        <f aca="false">K28*Assumptions!$F$30*K8</f>
        <v>600</v>
      </c>
      <c r="L30" s="28" t="n">
        <f aca="false">L28*Assumptions!$F$30*L8</f>
        <v>600</v>
      </c>
      <c r="M30" s="28" t="n">
        <f aca="false">M28*Assumptions!$F$30*M8</f>
        <v>600</v>
      </c>
      <c r="N30" s="28" t="n">
        <f aca="false">N28*Assumptions!$F$30*N8</f>
        <v>600</v>
      </c>
      <c r="O30" s="28" t="n">
        <f aca="false">O28*Assumptions!$F$30*O8</f>
        <v>672</v>
      </c>
      <c r="P30" s="28" t="n">
        <f aca="false">P28*Assumptions!$F$30*P8</f>
        <v>672</v>
      </c>
      <c r="Q30" s="28" t="n">
        <f aca="false">Q28*Assumptions!$F$30*Q8</f>
        <v>672</v>
      </c>
      <c r="R30" s="28" t="n">
        <f aca="false">R28*Assumptions!$F$30*R8</f>
        <v>672</v>
      </c>
      <c r="S30" s="28" t="n">
        <f aca="false">S28*Assumptions!$F$30*S8</f>
        <v>672</v>
      </c>
      <c r="T30" s="28" t="n">
        <f aca="false">T28*Assumptions!$F$30*T8</f>
        <v>672</v>
      </c>
      <c r="U30" s="28" t="n">
        <f aca="false">U28*Assumptions!$F$30*U8</f>
        <v>672</v>
      </c>
      <c r="V30" s="28" t="n">
        <f aca="false">V28*Assumptions!$F$30*V8</f>
        <v>672</v>
      </c>
      <c r="W30" s="28" t="n">
        <f aca="false">W28*Assumptions!$F$30*W8</f>
        <v>672</v>
      </c>
      <c r="X30" s="28" t="n">
        <f aca="false">X28*Assumptions!$F$30*X8</f>
        <v>672</v>
      </c>
      <c r="Y30" s="28" t="n">
        <f aca="false">Y28*Assumptions!$F$30*Y8</f>
        <v>672</v>
      </c>
      <c r="Z30" s="28" t="n">
        <f aca="false">Z28*Assumptions!$F$30*Z8</f>
        <v>672</v>
      </c>
      <c r="AA30" s="28" t="n">
        <f aca="false">AA28*Assumptions!$F$30*AA8</f>
        <v>752.64</v>
      </c>
      <c r="AB30" s="28" t="n">
        <f aca="false">AB28*Assumptions!$F$30*AB8</f>
        <v>752.64</v>
      </c>
      <c r="AC30" s="28" t="n">
        <f aca="false">AC28*Assumptions!$F$30*AC8</f>
        <v>752.64</v>
      </c>
      <c r="AD30" s="28" t="n">
        <f aca="false">AD28*Assumptions!$F$30*AD8</f>
        <v>752.64</v>
      </c>
      <c r="AE30" s="28" t="n">
        <f aca="false">AE28*Assumptions!$F$30*AE8</f>
        <v>752.64</v>
      </c>
      <c r="AF30" s="28" t="n">
        <f aca="false">AF28*Assumptions!$F$30*AF8</f>
        <v>752.64</v>
      </c>
      <c r="AG30" s="28" t="n">
        <f aca="false">AG28*Assumptions!$F$30*AG8</f>
        <v>752.64</v>
      </c>
      <c r="AH30" s="28" t="n">
        <f aca="false">AH28*Assumptions!$F$30*AH8</f>
        <v>752.64</v>
      </c>
      <c r="AI30" s="28" t="n">
        <f aca="false">AI28*Assumptions!$F$30*AI8</f>
        <v>752.64</v>
      </c>
      <c r="AJ30" s="28" t="n">
        <f aca="false">AJ28*Assumptions!$F$30*AJ8</f>
        <v>752.64</v>
      </c>
      <c r="AK30" s="28" t="n">
        <f aca="false">AK28*Assumptions!$F$30*AK8</f>
        <v>752.64</v>
      </c>
      <c r="AL30" s="28" t="n">
        <f aca="false">AL28*Assumptions!$F$30*AL8</f>
        <v>752.64</v>
      </c>
      <c r="AM30" s="28" t="n">
        <f aca="false">AM28*Assumptions!$F$30*AM8</f>
        <v>842.9568</v>
      </c>
      <c r="AN30" s="28" t="n">
        <f aca="false">AN28*Assumptions!$F$30*AN8</f>
        <v>842.9568</v>
      </c>
      <c r="AO30" s="28" t="n">
        <f aca="false">AO28*Assumptions!$F$30*AO8</f>
        <v>842.9568</v>
      </c>
      <c r="AP30" s="28" t="n">
        <f aca="false">AP28*Assumptions!$F$30*AP8</f>
        <v>842.9568</v>
      </c>
      <c r="AQ30" s="28" t="n">
        <f aca="false">AQ28*Assumptions!$F$30*AQ8</f>
        <v>842.9568</v>
      </c>
      <c r="AR30" s="28" t="n">
        <f aca="false">AR28*Assumptions!$F$30*AR8</f>
        <v>842.9568</v>
      </c>
      <c r="AS30" s="28" t="n">
        <f aca="false">AS28*Assumptions!$F$30*AS8</f>
        <v>842.9568</v>
      </c>
      <c r="AT30" s="28" t="n">
        <f aca="false">AT28*Assumptions!$F$30*AT8</f>
        <v>842.9568</v>
      </c>
      <c r="AU30" s="28" t="n">
        <f aca="false">AU28*Assumptions!$F$30*AU8</f>
        <v>842.9568</v>
      </c>
      <c r="AV30" s="28" t="n">
        <f aca="false">AV28*Assumptions!$F$30*AV8</f>
        <v>842.9568</v>
      </c>
      <c r="AW30" s="28" t="n">
        <f aca="false">AW28*Assumptions!$F$30*AW8</f>
        <v>842.9568</v>
      </c>
      <c r="AX30" s="28" t="n">
        <f aca="false">AX28*Assumptions!$F$30*AX8</f>
        <v>842.9568</v>
      </c>
      <c r="AY30" s="28" t="n">
        <f aca="false">AY28*Assumptions!$F$30*AY8</f>
        <v>944.111616</v>
      </c>
      <c r="AZ30" s="28" t="n">
        <f aca="false">AZ28*Assumptions!$F$30*AZ8</f>
        <v>944.111616</v>
      </c>
      <c r="BA30" s="28" t="n">
        <f aca="false">BA28*Assumptions!$F$30*BA8</f>
        <v>944.111616</v>
      </c>
      <c r="BB30" s="28" t="n">
        <f aca="false">BB28*Assumptions!$F$30*BB8</f>
        <v>944.111616</v>
      </c>
      <c r="BC30" s="28" t="n">
        <f aca="false">BC28*Assumptions!$F$30*BC8</f>
        <v>944.111616</v>
      </c>
      <c r="BD30" s="28" t="n">
        <f aca="false">BD28*Assumptions!$F$30*BD8</f>
        <v>944.111616</v>
      </c>
      <c r="BE30" s="28" t="n">
        <f aca="false">BE28*Assumptions!$F$30*BE8</f>
        <v>944.111616</v>
      </c>
      <c r="BF30" s="28" t="n">
        <f aca="false">BF28*Assumptions!$F$30*BF8</f>
        <v>944.111616</v>
      </c>
      <c r="BG30" s="28" t="n">
        <f aca="false">BG28*Assumptions!$F$30*BG8</f>
        <v>944.111616</v>
      </c>
      <c r="BH30" s="28" t="n">
        <f aca="false">BH28*Assumptions!$F$30*BH8</f>
        <v>944.111616</v>
      </c>
      <c r="BI30" s="28" t="n">
        <f aca="false">BI28*Assumptions!$F$30*BI8</f>
        <v>944.111616</v>
      </c>
      <c r="BJ30" s="28" t="n">
        <f aca="false">BJ28*Assumptions!$F$30*BJ8</f>
        <v>944.111616</v>
      </c>
    </row>
    <row r="31" customFormat="false" ht="15" hidden="false" customHeight="false" outlineLevel="0" collapsed="false">
      <c r="A31" s="4" t="s">
        <v>171</v>
      </c>
      <c r="B31" s="4"/>
      <c r="C31" s="28" t="n">
        <f aca="false">C28*Assumptions!$F$31*C8</f>
        <v>0</v>
      </c>
      <c r="D31" s="28" t="n">
        <f aca="false">D28*Assumptions!$F$31*D8</f>
        <v>0</v>
      </c>
      <c r="E31" s="28" t="n">
        <f aca="false">E28*Assumptions!$F$31*E8</f>
        <v>0</v>
      </c>
      <c r="F31" s="28" t="n">
        <f aca="false">F28*Assumptions!$F$31*F8</f>
        <v>800</v>
      </c>
      <c r="G31" s="28" t="n">
        <f aca="false">G28*Assumptions!$F$31*G8</f>
        <v>800</v>
      </c>
      <c r="H31" s="28" t="n">
        <f aca="false">H28*Assumptions!$F$31*H8</f>
        <v>800</v>
      </c>
      <c r="I31" s="28" t="n">
        <f aca="false">I28*Assumptions!$F$31*I8</f>
        <v>800</v>
      </c>
      <c r="J31" s="28" t="n">
        <f aca="false">J28*Assumptions!$F$31*J8</f>
        <v>800</v>
      </c>
      <c r="K31" s="28" t="n">
        <f aca="false">K28*Assumptions!$F$31*K8</f>
        <v>800</v>
      </c>
      <c r="L31" s="28" t="n">
        <f aca="false">L28*Assumptions!$F$31*L8</f>
        <v>800</v>
      </c>
      <c r="M31" s="28" t="n">
        <f aca="false">M28*Assumptions!$F$31*M8</f>
        <v>800</v>
      </c>
      <c r="N31" s="28" t="n">
        <f aca="false">N28*Assumptions!$F$31*N8</f>
        <v>800</v>
      </c>
      <c r="O31" s="28" t="n">
        <f aca="false">O28*Assumptions!$F$31*O8</f>
        <v>896</v>
      </c>
      <c r="P31" s="28" t="n">
        <f aca="false">P28*Assumptions!$F$31*P8</f>
        <v>896</v>
      </c>
      <c r="Q31" s="28" t="n">
        <f aca="false">Q28*Assumptions!$F$31*Q8</f>
        <v>896</v>
      </c>
      <c r="R31" s="28" t="n">
        <f aca="false">R28*Assumptions!$F$31*R8</f>
        <v>896</v>
      </c>
      <c r="S31" s="28" t="n">
        <f aca="false">S28*Assumptions!$F$31*S8</f>
        <v>896</v>
      </c>
      <c r="T31" s="28" t="n">
        <f aca="false">T28*Assumptions!$F$31*T8</f>
        <v>896</v>
      </c>
      <c r="U31" s="28" t="n">
        <f aca="false">U28*Assumptions!$F$31*U8</f>
        <v>896</v>
      </c>
      <c r="V31" s="28" t="n">
        <f aca="false">V28*Assumptions!$F$31*V8</f>
        <v>896</v>
      </c>
      <c r="W31" s="28" t="n">
        <f aca="false">W28*Assumptions!$F$31*W8</f>
        <v>896</v>
      </c>
      <c r="X31" s="28" t="n">
        <f aca="false">X28*Assumptions!$F$31*X8</f>
        <v>896</v>
      </c>
      <c r="Y31" s="28" t="n">
        <f aca="false">Y28*Assumptions!$F$31*Y8</f>
        <v>896</v>
      </c>
      <c r="Z31" s="28" t="n">
        <f aca="false">Z28*Assumptions!$F$31*Z8</f>
        <v>896</v>
      </c>
      <c r="AA31" s="28" t="n">
        <f aca="false">AA28*Assumptions!$F$31*AA8</f>
        <v>1003.52</v>
      </c>
      <c r="AB31" s="28" t="n">
        <f aca="false">AB28*Assumptions!$F$31*AB8</f>
        <v>1003.52</v>
      </c>
      <c r="AC31" s="28" t="n">
        <f aca="false">AC28*Assumptions!$F$31*AC8</f>
        <v>1003.52</v>
      </c>
      <c r="AD31" s="28" t="n">
        <f aca="false">AD28*Assumptions!$F$31*AD8</f>
        <v>1003.52</v>
      </c>
      <c r="AE31" s="28" t="n">
        <f aca="false">AE28*Assumptions!$F$31*AE8</f>
        <v>1003.52</v>
      </c>
      <c r="AF31" s="28" t="n">
        <f aca="false">AF28*Assumptions!$F$31*AF8</f>
        <v>1003.52</v>
      </c>
      <c r="AG31" s="28" t="n">
        <f aca="false">AG28*Assumptions!$F$31*AG8</f>
        <v>1003.52</v>
      </c>
      <c r="AH31" s="28" t="n">
        <f aca="false">AH28*Assumptions!$F$31*AH8</f>
        <v>1003.52</v>
      </c>
      <c r="AI31" s="28" t="n">
        <f aca="false">AI28*Assumptions!$F$31*AI8</f>
        <v>1003.52</v>
      </c>
      <c r="AJ31" s="28" t="n">
        <f aca="false">AJ28*Assumptions!$F$31*AJ8</f>
        <v>1003.52</v>
      </c>
      <c r="AK31" s="28" t="n">
        <f aca="false">AK28*Assumptions!$F$31*AK8</f>
        <v>1003.52</v>
      </c>
      <c r="AL31" s="28" t="n">
        <f aca="false">AL28*Assumptions!$F$31*AL8</f>
        <v>1003.52</v>
      </c>
      <c r="AM31" s="28" t="n">
        <f aca="false">AM28*Assumptions!$F$31*AM8</f>
        <v>1123.9424</v>
      </c>
      <c r="AN31" s="28" t="n">
        <f aca="false">AN28*Assumptions!$F$31*AN8</f>
        <v>1123.9424</v>
      </c>
      <c r="AO31" s="28" t="n">
        <f aca="false">AO28*Assumptions!$F$31*AO8</f>
        <v>1123.9424</v>
      </c>
      <c r="AP31" s="28" t="n">
        <f aca="false">AP28*Assumptions!$F$31*AP8</f>
        <v>1123.9424</v>
      </c>
      <c r="AQ31" s="28" t="n">
        <f aca="false">AQ28*Assumptions!$F$31*AQ8</f>
        <v>1123.9424</v>
      </c>
      <c r="AR31" s="28" t="n">
        <f aca="false">AR28*Assumptions!$F$31*AR8</f>
        <v>1123.9424</v>
      </c>
      <c r="AS31" s="28" t="n">
        <f aca="false">AS28*Assumptions!$F$31*AS8</f>
        <v>1123.9424</v>
      </c>
      <c r="AT31" s="28" t="n">
        <f aca="false">AT28*Assumptions!$F$31*AT8</f>
        <v>1123.9424</v>
      </c>
      <c r="AU31" s="28" t="n">
        <f aca="false">AU28*Assumptions!$F$31*AU8</f>
        <v>1123.9424</v>
      </c>
      <c r="AV31" s="28" t="n">
        <f aca="false">AV28*Assumptions!$F$31*AV8</f>
        <v>1123.9424</v>
      </c>
      <c r="AW31" s="28" t="n">
        <f aca="false">AW28*Assumptions!$F$31*AW8</f>
        <v>1123.9424</v>
      </c>
      <c r="AX31" s="28" t="n">
        <f aca="false">AX28*Assumptions!$F$31*AX8</f>
        <v>1123.9424</v>
      </c>
      <c r="AY31" s="28" t="n">
        <f aca="false">AY28*Assumptions!$F$31*AY8</f>
        <v>1258.815488</v>
      </c>
      <c r="AZ31" s="28" t="n">
        <f aca="false">AZ28*Assumptions!$F$31*AZ8</f>
        <v>1258.815488</v>
      </c>
      <c r="BA31" s="28" t="n">
        <f aca="false">BA28*Assumptions!$F$31*BA8</f>
        <v>1258.815488</v>
      </c>
      <c r="BB31" s="28" t="n">
        <f aca="false">BB28*Assumptions!$F$31*BB8</f>
        <v>1258.815488</v>
      </c>
      <c r="BC31" s="28" t="n">
        <f aca="false">BC28*Assumptions!$F$31*BC8</f>
        <v>1258.815488</v>
      </c>
      <c r="BD31" s="28" t="n">
        <f aca="false">BD28*Assumptions!$F$31*BD8</f>
        <v>1258.815488</v>
      </c>
      <c r="BE31" s="28" t="n">
        <f aca="false">BE28*Assumptions!$F$31*BE8</f>
        <v>1258.815488</v>
      </c>
      <c r="BF31" s="28" t="n">
        <f aca="false">BF28*Assumptions!$F$31*BF8</f>
        <v>1258.815488</v>
      </c>
      <c r="BG31" s="28" t="n">
        <f aca="false">BG28*Assumptions!$F$31*BG8</f>
        <v>1258.815488</v>
      </c>
      <c r="BH31" s="28" t="n">
        <f aca="false">BH28*Assumptions!$F$31*BH8</f>
        <v>1258.815488</v>
      </c>
      <c r="BI31" s="28" t="n">
        <f aca="false">BI28*Assumptions!$F$31*BI8</f>
        <v>1258.815488</v>
      </c>
      <c r="BJ31" s="28" t="n">
        <f aca="false">BJ28*Assumptions!$F$31*BJ8</f>
        <v>1258.815488</v>
      </c>
    </row>
    <row r="32" customFormat="false" ht="15" hidden="false" customHeight="false" outlineLevel="0" collapsed="false">
      <c r="A32" s="4" t="s">
        <v>97</v>
      </c>
      <c r="B32" s="4"/>
      <c r="C32" s="28" t="n">
        <f aca="false">IF(C$3&gt;Assumptions!$F$7,(Assumptions!$F$36+Assumptions!$F$37)*Assumptions!$F$32/12*C8,0)</f>
        <v>0</v>
      </c>
      <c r="D32" s="28" t="n">
        <f aca="false">IF(D$3&gt;Assumptions!$F$7,(Assumptions!$F$36+Assumptions!$F$37)*Assumptions!$F$32/12*D8,0)</f>
        <v>0</v>
      </c>
      <c r="E32" s="28" t="n">
        <f aca="false">IF(E$3&gt;Assumptions!$F$7,(Assumptions!$F$36+Assumptions!$F$37)*Assumptions!$F$32/12*E8,0)</f>
        <v>0</v>
      </c>
      <c r="F32" s="28" t="n">
        <f aca="false">IF(F$3&gt;Assumptions!$F$7,(Assumptions!$F$36+Assumptions!$F$37)*Assumptions!$F$32/12*F8,0)</f>
        <v>1229.16666666667</v>
      </c>
      <c r="G32" s="28" t="n">
        <f aca="false">IF(G$3&gt;Assumptions!$F$7,(Assumptions!$F$36+Assumptions!$F$37)*Assumptions!$F$32/12*G8,0)</f>
        <v>1229.16666666667</v>
      </c>
      <c r="H32" s="28" t="n">
        <f aca="false">IF(H$3&gt;Assumptions!$F$7,(Assumptions!$F$36+Assumptions!$F$37)*Assumptions!$F$32/12*H8,0)</f>
        <v>1229.16666666667</v>
      </c>
      <c r="I32" s="28" t="n">
        <f aca="false">IF(I$3&gt;Assumptions!$F$7,(Assumptions!$F$36+Assumptions!$F$37)*Assumptions!$F$32/12*I8,0)</f>
        <v>1229.16666666667</v>
      </c>
      <c r="J32" s="28" t="n">
        <f aca="false">IF(J$3&gt;Assumptions!$F$7,(Assumptions!$F$36+Assumptions!$F$37)*Assumptions!$F$32/12*J8,0)</f>
        <v>1229.16666666667</v>
      </c>
      <c r="K32" s="28" t="n">
        <f aca="false">IF(K$3&gt;Assumptions!$F$7,(Assumptions!$F$36+Assumptions!$F$37)*Assumptions!$F$32/12*K8,0)</f>
        <v>1229.16666666667</v>
      </c>
      <c r="L32" s="28" t="n">
        <f aca="false">IF(L$3&gt;Assumptions!$F$7,(Assumptions!$F$36+Assumptions!$F$37)*Assumptions!$F$32/12*L8,0)</f>
        <v>1229.16666666667</v>
      </c>
      <c r="M32" s="28" t="n">
        <f aca="false">IF(M$3&gt;Assumptions!$F$7,(Assumptions!$F$36+Assumptions!$F$37)*Assumptions!$F$32/12*M8,0)</f>
        <v>1229.16666666667</v>
      </c>
      <c r="N32" s="28" t="n">
        <f aca="false">IF(N$3&gt;Assumptions!$F$7,(Assumptions!$F$36+Assumptions!$F$37)*Assumptions!$F$32/12*N8,0)</f>
        <v>1229.16666666667</v>
      </c>
      <c r="O32" s="28" t="n">
        <f aca="false">IF(O$3&gt;Assumptions!$F$7,(Assumptions!$F$36+Assumptions!$F$37)*Assumptions!$F$32/12*O8,0)</f>
        <v>1376.66666666667</v>
      </c>
      <c r="P32" s="28" t="n">
        <f aca="false">IF(P$3&gt;Assumptions!$F$7,(Assumptions!$F$36+Assumptions!$F$37)*Assumptions!$F$32/12*P8,0)</f>
        <v>1376.66666666667</v>
      </c>
      <c r="Q32" s="28" t="n">
        <f aca="false">IF(Q$3&gt;Assumptions!$F$7,(Assumptions!$F$36+Assumptions!$F$37)*Assumptions!$F$32/12*Q8,0)</f>
        <v>1376.66666666667</v>
      </c>
      <c r="R32" s="28" t="n">
        <f aca="false">IF(R$3&gt;Assumptions!$F$7,(Assumptions!$F$36+Assumptions!$F$37)*Assumptions!$F$32/12*R8,0)</f>
        <v>1376.66666666667</v>
      </c>
      <c r="S32" s="28" t="n">
        <f aca="false">IF(S$3&gt;Assumptions!$F$7,(Assumptions!$F$36+Assumptions!$F$37)*Assumptions!$F$32/12*S8,0)</f>
        <v>1376.66666666667</v>
      </c>
      <c r="T32" s="28" t="n">
        <f aca="false">IF(T$3&gt;Assumptions!$F$7,(Assumptions!$F$36+Assumptions!$F$37)*Assumptions!$F$32/12*T8,0)</f>
        <v>1376.66666666667</v>
      </c>
      <c r="U32" s="28" t="n">
        <f aca="false">IF(U$3&gt;Assumptions!$F$7,(Assumptions!$F$36+Assumptions!$F$37)*Assumptions!$F$32/12*U8,0)</f>
        <v>1376.66666666667</v>
      </c>
      <c r="V32" s="28" t="n">
        <f aca="false">IF(V$3&gt;Assumptions!$F$7,(Assumptions!$F$36+Assumptions!$F$37)*Assumptions!$F$32/12*V8,0)</f>
        <v>1376.66666666667</v>
      </c>
      <c r="W32" s="28" t="n">
        <f aca="false">IF(W$3&gt;Assumptions!$F$7,(Assumptions!$F$36+Assumptions!$F$37)*Assumptions!$F$32/12*W8,0)</f>
        <v>1376.66666666667</v>
      </c>
      <c r="X32" s="28" t="n">
        <f aca="false">IF(X$3&gt;Assumptions!$F$7,(Assumptions!$F$36+Assumptions!$F$37)*Assumptions!$F$32/12*X8,0)</f>
        <v>1376.66666666667</v>
      </c>
      <c r="Y32" s="28" t="n">
        <f aca="false">IF(Y$3&gt;Assumptions!$F$7,(Assumptions!$F$36+Assumptions!$F$37)*Assumptions!$F$32/12*Y8,0)</f>
        <v>1376.66666666667</v>
      </c>
      <c r="Z32" s="28" t="n">
        <f aca="false">IF(Z$3&gt;Assumptions!$F$7,(Assumptions!$F$36+Assumptions!$F$37)*Assumptions!$F$32/12*Z8,0)</f>
        <v>1376.66666666667</v>
      </c>
      <c r="AA32" s="28" t="n">
        <f aca="false">IF(AA$3&gt;Assumptions!$F$7,(Assumptions!$F$36+Assumptions!$F$37)*Assumptions!$F$32/12*AA8,0)</f>
        <v>1541.86666666667</v>
      </c>
      <c r="AB32" s="28" t="n">
        <f aca="false">IF(AB$3&gt;Assumptions!$F$7,(Assumptions!$F$36+Assumptions!$F$37)*Assumptions!$F$32/12*AB8,0)</f>
        <v>1541.86666666667</v>
      </c>
      <c r="AC32" s="28" t="n">
        <f aca="false">IF(AC$3&gt;Assumptions!$F$7,(Assumptions!$F$36+Assumptions!$F$37)*Assumptions!$F$32/12*AC8,0)</f>
        <v>1541.86666666667</v>
      </c>
      <c r="AD32" s="28" t="n">
        <f aca="false">IF(AD$3&gt;Assumptions!$F$7,(Assumptions!$F$36+Assumptions!$F$37)*Assumptions!$F$32/12*AD8,0)</f>
        <v>1541.86666666667</v>
      </c>
      <c r="AE32" s="28" t="n">
        <f aca="false">IF(AE$3&gt;Assumptions!$F$7,(Assumptions!$F$36+Assumptions!$F$37)*Assumptions!$F$32/12*AE8,0)</f>
        <v>1541.86666666667</v>
      </c>
      <c r="AF32" s="28" t="n">
        <f aca="false">IF(AF$3&gt;Assumptions!$F$7,(Assumptions!$F$36+Assumptions!$F$37)*Assumptions!$F$32/12*AF8,0)</f>
        <v>1541.86666666667</v>
      </c>
      <c r="AG32" s="28" t="n">
        <f aca="false">IF(AG$3&gt;Assumptions!$F$7,(Assumptions!$F$36+Assumptions!$F$37)*Assumptions!$F$32/12*AG8,0)</f>
        <v>1541.86666666667</v>
      </c>
      <c r="AH32" s="28" t="n">
        <f aca="false">IF(AH$3&gt;Assumptions!$F$7,(Assumptions!$F$36+Assumptions!$F$37)*Assumptions!$F$32/12*AH8,0)</f>
        <v>1541.86666666667</v>
      </c>
      <c r="AI32" s="28" t="n">
        <f aca="false">IF(AI$3&gt;Assumptions!$F$7,(Assumptions!$F$36+Assumptions!$F$37)*Assumptions!$F$32/12*AI8,0)</f>
        <v>1541.86666666667</v>
      </c>
      <c r="AJ32" s="28" t="n">
        <f aca="false">IF(AJ$3&gt;Assumptions!$F$7,(Assumptions!$F$36+Assumptions!$F$37)*Assumptions!$F$32/12*AJ8,0)</f>
        <v>1541.86666666667</v>
      </c>
      <c r="AK32" s="28" t="n">
        <f aca="false">IF(AK$3&gt;Assumptions!$F$7,(Assumptions!$F$36+Assumptions!$F$37)*Assumptions!$F$32/12*AK8,0)</f>
        <v>1541.86666666667</v>
      </c>
      <c r="AL32" s="28" t="n">
        <f aca="false">IF(AL$3&gt;Assumptions!$F$7,(Assumptions!$F$36+Assumptions!$F$37)*Assumptions!$F$32/12*AL8,0)</f>
        <v>1541.86666666667</v>
      </c>
      <c r="AM32" s="28" t="n">
        <f aca="false">IF(AM$3&gt;Assumptions!$F$7,(Assumptions!$F$36+Assumptions!$F$37)*Assumptions!$F$32/12*AM8,0)</f>
        <v>1726.89066666667</v>
      </c>
      <c r="AN32" s="28" t="n">
        <f aca="false">IF(AN$3&gt;Assumptions!$F$7,(Assumptions!$F$36+Assumptions!$F$37)*Assumptions!$F$32/12*AN8,0)</f>
        <v>1726.89066666667</v>
      </c>
      <c r="AO32" s="28" t="n">
        <f aca="false">IF(AO$3&gt;Assumptions!$F$7,(Assumptions!$F$36+Assumptions!$F$37)*Assumptions!$F$32/12*AO8,0)</f>
        <v>1726.89066666667</v>
      </c>
      <c r="AP32" s="28" t="n">
        <f aca="false">IF(AP$3&gt;Assumptions!$F$7,(Assumptions!$F$36+Assumptions!$F$37)*Assumptions!$F$32/12*AP8,0)</f>
        <v>1726.89066666667</v>
      </c>
      <c r="AQ32" s="28" t="n">
        <f aca="false">IF(AQ$3&gt;Assumptions!$F$7,(Assumptions!$F$36+Assumptions!$F$37)*Assumptions!$F$32/12*AQ8,0)</f>
        <v>1726.89066666667</v>
      </c>
      <c r="AR32" s="28" t="n">
        <f aca="false">IF(AR$3&gt;Assumptions!$F$7,(Assumptions!$F$36+Assumptions!$F$37)*Assumptions!$F$32/12*AR8,0)</f>
        <v>1726.89066666667</v>
      </c>
      <c r="AS32" s="28" t="n">
        <f aca="false">IF(AS$3&gt;Assumptions!$F$7,(Assumptions!$F$36+Assumptions!$F$37)*Assumptions!$F$32/12*AS8,0)</f>
        <v>1726.89066666667</v>
      </c>
      <c r="AT32" s="28" t="n">
        <f aca="false">IF(AT$3&gt;Assumptions!$F$7,(Assumptions!$F$36+Assumptions!$F$37)*Assumptions!$F$32/12*AT8,0)</f>
        <v>1726.89066666667</v>
      </c>
      <c r="AU32" s="28" t="n">
        <f aca="false">IF(AU$3&gt;Assumptions!$F$7,(Assumptions!$F$36+Assumptions!$F$37)*Assumptions!$F$32/12*AU8,0)</f>
        <v>1726.89066666667</v>
      </c>
      <c r="AV32" s="28" t="n">
        <f aca="false">IF(AV$3&gt;Assumptions!$F$7,(Assumptions!$F$36+Assumptions!$F$37)*Assumptions!$F$32/12*AV8,0)</f>
        <v>1726.89066666667</v>
      </c>
      <c r="AW32" s="28" t="n">
        <f aca="false">IF(AW$3&gt;Assumptions!$F$7,(Assumptions!$F$36+Assumptions!$F$37)*Assumptions!$F$32/12*AW8,0)</f>
        <v>1726.89066666667</v>
      </c>
      <c r="AX32" s="28" t="n">
        <f aca="false">IF(AX$3&gt;Assumptions!$F$7,(Assumptions!$F$36+Assumptions!$F$37)*Assumptions!$F$32/12*AX8,0)</f>
        <v>1726.89066666667</v>
      </c>
      <c r="AY32" s="28" t="n">
        <f aca="false">IF(AY$3&gt;Assumptions!$F$7,(Assumptions!$F$36+Assumptions!$F$37)*Assumptions!$F$32/12*AY8,0)</f>
        <v>1934.11754666667</v>
      </c>
      <c r="AZ32" s="28" t="n">
        <f aca="false">IF(AZ$3&gt;Assumptions!$F$7,(Assumptions!$F$36+Assumptions!$F$37)*Assumptions!$F$32/12*AZ8,0)</f>
        <v>1934.11754666667</v>
      </c>
      <c r="BA32" s="28" t="n">
        <f aca="false">IF(BA$3&gt;Assumptions!$F$7,(Assumptions!$F$36+Assumptions!$F$37)*Assumptions!$F$32/12*BA8,0)</f>
        <v>1934.11754666667</v>
      </c>
      <c r="BB32" s="28" t="n">
        <f aca="false">IF(BB$3&gt;Assumptions!$F$7,(Assumptions!$F$36+Assumptions!$F$37)*Assumptions!$F$32/12*BB8,0)</f>
        <v>1934.11754666667</v>
      </c>
      <c r="BC32" s="28" t="n">
        <f aca="false">IF(BC$3&gt;Assumptions!$F$7,(Assumptions!$F$36+Assumptions!$F$37)*Assumptions!$F$32/12*BC8,0)</f>
        <v>1934.11754666667</v>
      </c>
      <c r="BD32" s="28" t="n">
        <f aca="false">IF(BD$3&gt;Assumptions!$F$7,(Assumptions!$F$36+Assumptions!$F$37)*Assumptions!$F$32/12*BD8,0)</f>
        <v>1934.11754666667</v>
      </c>
      <c r="BE32" s="28" t="n">
        <f aca="false">IF(BE$3&gt;Assumptions!$F$7,(Assumptions!$F$36+Assumptions!$F$37)*Assumptions!$F$32/12*BE8,0)</f>
        <v>1934.11754666667</v>
      </c>
      <c r="BF32" s="28" t="n">
        <f aca="false">IF(BF$3&gt;Assumptions!$F$7,(Assumptions!$F$36+Assumptions!$F$37)*Assumptions!$F$32/12*BF8,0)</f>
        <v>1934.11754666667</v>
      </c>
      <c r="BG32" s="28" t="n">
        <f aca="false">IF(BG$3&gt;Assumptions!$F$7,(Assumptions!$F$36+Assumptions!$F$37)*Assumptions!$F$32/12*BG8,0)</f>
        <v>1934.11754666667</v>
      </c>
      <c r="BH32" s="28" t="n">
        <f aca="false">IF(BH$3&gt;Assumptions!$F$7,(Assumptions!$F$36+Assumptions!$F$37)*Assumptions!$F$32/12*BH8,0)</f>
        <v>1934.11754666667</v>
      </c>
      <c r="BI32" s="28" t="n">
        <f aca="false">IF(BI$3&gt;Assumptions!$F$7,(Assumptions!$F$36+Assumptions!$F$37)*Assumptions!$F$32/12*BI8,0)</f>
        <v>1934.11754666667</v>
      </c>
      <c r="BJ32" s="28" t="n">
        <f aca="false">IF(BJ$3&gt;Assumptions!$F$7,(Assumptions!$F$36+Assumptions!$F$37)*Assumptions!$F$32/12*BJ8,0)</f>
        <v>1934.11754666667</v>
      </c>
    </row>
    <row r="33" customFormat="false" ht="15" hidden="false" customHeight="false" outlineLevel="0" collapsed="false">
      <c r="A33" s="4" t="s">
        <v>172</v>
      </c>
      <c r="B33" s="4"/>
      <c r="C33" s="28" t="n">
        <f aca="false">IF(C$3=2,Assumptions!$F$33,0)+IF(AND(C$3&gt;12,MOD(C$3,12)=2),Assumptions!$F$34*C8,0)</f>
        <v>0</v>
      </c>
      <c r="D33" s="28" t="n">
        <f aca="false">IF(D$3=2,Assumptions!$F$33,0)+IF(AND(D$3&gt;12,MOD(D$3,12)=2),Assumptions!$F$34*D8,0)</f>
        <v>3000</v>
      </c>
      <c r="E33" s="28" t="n">
        <f aca="false">IF(E$3=2,Assumptions!$F$33,0)+IF(AND(E$3&gt;12,MOD(E$3,12)=2),Assumptions!$F$34*E8,0)</f>
        <v>0</v>
      </c>
      <c r="F33" s="28" t="n">
        <f aca="false">IF(F$3=2,Assumptions!$F$33,0)+IF(AND(F$3&gt;12,MOD(F$3,12)=2),Assumptions!$F$34*F8,0)</f>
        <v>0</v>
      </c>
      <c r="G33" s="28" t="n">
        <f aca="false">IF(G$3=2,Assumptions!$F$33,0)+IF(AND(G$3&gt;12,MOD(G$3,12)=2),Assumptions!$F$34*G8,0)</f>
        <v>0</v>
      </c>
      <c r="H33" s="28" t="n">
        <f aca="false">IF(H$3=2,Assumptions!$F$33,0)+IF(AND(H$3&gt;12,MOD(H$3,12)=2),Assumptions!$F$34*H8,0)</f>
        <v>0</v>
      </c>
      <c r="I33" s="28" t="n">
        <f aca="false">IF(I$3=2,Assumptions!$F$33,0)+IF(AND(I$3&gt;12,MOD(I$3,12)=2),Assumptions!$F$34*I8,0)</f>
        <v>0</v>
      </c>
      <c r="J33" s="28" t="n">
        <f aca="false">IF(J$3=2,Assumptions!$F$33,0)+IF(AND(J$3&gt;12,MOD(J$3,12)=2),Assumptions!$F$34*J8,0)</f>
        <v>0</v>
      </c>
      <c r="K33" s="28" t="n">
        <f aca="false">IF(K$3=2,Assumptions!$F$33,0)+IF(AND(K$3&gt;12,MOD(K$3,12)=2),Assumptions!$F$34*K8,0)</f>
        <v>0</v>
      </c>
      <c r="L33" s="28" t="n">
        <f aca="false">IF(L$3=2,Assumptions!$F$33,0)+IF(AND(L$3&gt;12,MOD(L$3,12)=2),Assumptions!$F$34*L8,0)</f>
        <v>0</v>
      </c>
      <c r="M33" s="28" t="n">
        <f aca="false">IF(M$3=2,Assumptions!$F$33,0)+IF(AND(M$3&gt;12,MOD(M$3,12)=2),Assumptions!$F$34*M8,0)</f>
        <v>0</v>
      </c>
      <c r="N33" s="28" t="n">
        <f aca="false">IF(N$3=2,Assumptions!$F$33,0)+IF(AND(N$3&gt;12,MOD(N$3,12)=2),Assumptions!$F$34*N8,0)</f>
        <v>0</v>
      </c>
      <c r="O33" s="28" t="n">
        <f aca="false">IF(O$3=2,Assumptions!$F$33,0)+IF(AND(O$3&gt;12,MOD(O$3,12)=2),Assumptions!$F$34*O8,0)</f>
        <v>0</v>
      </c>
      <c r="P33" s="28" t="n">
        <f aca="false">IF(P$3=2,Assumptions!$F$33,0)+IF(AND(P$3&gt;12,MOD(P$3,12)=2),Assumptions!$F$34*P8,0)</f>
        <v>2240</v>
      </c>
      <c r="Q33" s="28" t="n">
        <f aca="false">IF(Q$3=2,Assumptions!$F$33,0)+IF(AND(Q$3&gt;12,MOD(Q$3,12)=2),Assumptions!$F$34*Q8,0)</f>
        <v>0</v>
      </c>
      <c r="R33" s="28" t="n">
        <f aca="false">IF(R$3=2,Assumptions!$F$33,0)+IF(AND(R$3&gt;12,MOD(R$3,12)=2),Assumptions!$F$34*R8,0)</f>
        <v>0</v>
      </c>
      <c r="S33" s="28" t="n">
        <f aca="false">IF(S$3=2,Assumptions!$F$33,0)+IF(AND(S$3&gt;12,MOD(S$3,12)=2),Assumptions!$F$34*S8,0)</f>
        <v>0</v>
      </c>
      <c r="T33" s="28" t="n">
        <f aca="false">IF(T$3=2,Assumptions!$F$33,0)+IF(AND(T$3&gt;12,MOD(T$3,12)=2),Assumptions!$F$34*T8,0)</f>
        <v>0</v>
      </c>
      <c r="U33" s="28" t="n">
        <f aca="false">IF(U$3=2,Assumptions!$F$33,0)+IF(AND(U$3&gt;12,MOD(U$3,12)=2),Assumptions!$F$34*U8,0)</f>
        <v>0</v>
      </c>
      <c r="V33" s="28" t="n">
        <f aca="false">IF(V$3=2,Assumptions!$F$33,0)+IF(AND(V$3&gt;12,MOD(V$3,12)=2),Assumptions!$F$34*V8,0)</f>
        <v>0</v>
      </c>
      <c r="W33" s="28" t="n">
        <f aca="false">IF(W$3=2,Assumptions!$F$33,0)+IF(AND(W$3&gt;12,MOD(W$3,12)=2),Assumptions!$F$34*W8,0)</f>
        <v>0</v>
      </c>
      <c r="X33" s="28" t="n">
        <f aca="false">IF(X$3=2,Assumptions!$F$33,0)+IF(AND(X$3&gt;12,MOD(X$3,12)=2),Assumptions!$F$34*X8,0)</f>
        <v>0</v>
      </c>
      <c r="Y33" s="28" t="n">
        <f aca="false">IF(Y$3=2,Assumptions!$F$33,0)+IF(AND(Y$3&gt;12,MOD(Y$3,12)=2),Assumptions!$F$34*Y8,0)</f>
        <v>0</v>
      </c>
      <c r="Z33" s="28" t="n">
        <f aca="false">IF(Z$3=2,Assumptions!$F$33,0)+IF(AND(Z$3&gt;12,MOD(Z$3,12)=2),Assumptions!$F$34*Z8,0)</f>
        <v>0</v>
      </c>
      <c r="AA33" s="28" t="n">
        <f aca="false">IF(AA$3=2,Assumptions!$F$33,0)+IF(AND(AA$3&gt;12,MOD(AA$3,12)=2),Assumptions!$F$34*AA8,0)</f>
        <v>0</v>
      </c>
      <c r="AB33" s="28" t="n">
        <f aca="false">IF(AB$3=2,Assumptions!$F$33,0)+IF(AND(AB$3&gt;12,MOD(AB$3,12)=2),Assumptions!$F$34*AB8,0)</f>
        <v>2508.8</v>
      </c>
      <c r="AC33" s="28" t="n">
        <f aca="false">IF(AC$3=2,Assumptions!$F$33,0)+IF(AND(AC$3&gt;12,MOD(AC$3,12)=2),Assumptions!$F$34*AC8,0)</f>
        <v>0</v>
      </c>
      <c r="AD33" s="28" t="n">
        <f aca="false">IF(AD$3=2,Assumptions!$F$33,0)+IF(AND(AD$3&gt;12,MOD(AD$3,12)=2),Assumptions!$F$34*AD8,0)</f>
        <v>0</v>
      </c>
      <c r="AE33" s="28" t="n">
        <f aca="false">IF(AE$3=2,Assumptions!$F$33,0)+IF(AND(AE$3&gt;12,MOD(AE$3,12)=2),Assumptions!$F$34*AE8,0)</f>
        <v>0</v>
      </c>
      <c r="AF33" s="28" t="n">
        <f aca="false">IF(AF$3=2,Assumptions!$F$33,0)+IF(AND(AF$3&gt;12,MOD(AF$3,12)=2),Assumptions!$F$34*AF8,0)</f>
        <v>0</v>
      </c>
      <c r="AG33" s="28" t="n">
        <f aca="false">IF(AG$3=2,Assumptions!$F$33,0)+IF(AND(AG$3&gt;12,MOD(AG$3,12)=2),Assumptions!$F$34*AG8,0)</f>
        <v>0</v>
      </c>
      <c r="AH33" s="28" t="n">
        <f aca="false">IF(AH$3=2,Assumptions!$F$33,0)+IF(AND(AH$3&gt;12,MOD(AH$3,12)=2),Assumptions!$F$34*AH8,0)</f>
        <v>0</v>
      </c>
      <c r="AI33" s="28" t="n">
        <f aca="false">IF(AI$3=2,Assumptions!$F$33,0)+IF(AND(AI$3&gt;12,MOD(AI$3,12)=2),Assumptions!$F$34*AI8,0)</f>
        <v>0</v>
      </c>
      <c r="AJ33" s="28" t="n">
        <f aca="false">IF(AJ$3=2,Assumptions!$F$33,0)+IF(AND(AJ$3&gt;12,MOD(AJ$3,12)=2),Assumptions!$F$34*AJ8,0)</f>
        <v>0</v>
      </c>
      <c r="AK33" s="28" t="n">
        <f aca="false">IF(AK$3=2,Assumptions!$F$33,0)+IF(AND(AK$3&gt;12,MOD(AK$3,12)=2),Assumptions!$F$34*AK8,0)</f>
        <v>0</v>
      </c>
      <c r="AL33" s="28" t="n">
        <f aca="false">IF(AL$3=2,Assumptions!$F$33,0)+IF(AND(AL$3&gt;12,MOD(AL$3,12)=2),Assumptions!$F$34*AL8,0)</f>
        <v>0</v>
      </c>
      <c r="AM33" s="28" t="n">
        <f aca="false">IF(AM$3=2,Assumptions!$F$33,0)+IF(AND(AM$3&gt;12,MOD(AM$3,12)=2),Assumptions!$F$34*AM8,0)</f>
        <v>0</v>
      </c>
      <c r="AN33" s="28" t="n">
        <f aca="false">IF(AN$3=2,Assumptions!$F$33,0)+IF(AND(AN$3&gt;12,MOD(AN$3,12)=2),Assumptions!$F$34*AN8,0)</f>
        <v>2809.856</v>
      </c>
      <c r="AO33" s="28" t="n">
        <f aca="false">IF(AO$3=2,Assumptions!$F$33,0)+IF(AND(AO$3&gt;12,MOD(AO$3,12)=2),Assumptions!$F$34*AO8,0)</f>
        <v>0</v>
      </c>
      <c r="AP33" s="28" t="n">
        <f aca="false">IF(AP$3=2,Assumptions!$F$33,0)+IF(AND(AP$3&gt;12,MOD(AP$3,12)=2),Assumptions!$F$34*AP8,0)</f>
        <v>0</v>
      </c>
      <c r="AQ33" s="28" t="n">
        <f aca="false">IF(AQ$3=2,Assumptions!$F$33,0)+IF(AND(AQ$3&gt;12,MOD(AQ$3,12)=2),Assumptions!$F$34*AQ8,0)</f>
        <v>0</v>
      </c>
      <c r="AR33" s="28" t="n">
        <f aca="false">IF(AR$3=2,Assumptions!$F$33,0)+IF(AND(AR$3&gt;12,MOD(AR$3,12)=2),Assumptions!$F$34*AR8,0)</f>
        <v>0</v>
      </c>
      <c r="AS33" s="28" t="n">
        <f aca="false">IF(AS$3=2,Assumptions!$F$33,0)+IF(AND(AS$3&gt;12,MOD(AS$3,12)=2),Assumptions!$F$34*AS8,0)</f>
        <v>0</v>
      </c>
      <c r="AT33" s="28" t="n">
        <f aca="false">IF(AT$3=2,Assumptions!$F$33,0)+IF(AND(AT$3&gt;12,MOD(AT$3,12)=2),Assumptions!$F$34*AT8,0)</f>
        <v>0</v>
      </c>
      <c r="AU33" s="28" t="n">
        <f aca="false">IF(AU$3=2,Assumptions!$F$33,0)+IF(AND(AU$3&gt;12,MOD(AU$3,12)=2),Assumptions!$F$34*AU8,0)</f>
        <v>0</v>
      </c>
      <c r="AV33" s="28" t="n">
        <f aca="false">IF(AV$3=2,Assumptions!$F$33,0)+IF(AND(AV$3&gt;12,MOD(AV$3,12)=2),Assumptions!$F$34*AV8,0)</f>
        <v>0</v>
      </c>
      <c r="AW33" s="28" t="n">
        <f aca="false">IF(AW$3=2,Assumptions!$F$33,0)+IF(AND(AW$3&gt;12,MOD(AW$3,12)=2),Assumptions!$F$34*AW8,0)</f>
        <v>0</v>
      </c>
      <c r="AX33" s="28" t="n">
        <f aca="false">IF(AX$3=2,Assumptions!$F$33,0)+IF(AND(AX$3&gt;12,MOD(AX$3,12)=2),Assumptions!$F$34*AX8,0)</f>
        <v>0</v>
      </c>
      <c r="AY33" s="28" t="n">
        <f aca="false">IF(AY$3=2,Assumptions!$F$33,0)+IF(AND(AY$3&gt;12,MOD(AY$3,12)=2),Assumptions!$F$34*AY8,0)</f>
        <v>0</v>
      </c>
      <c r="AZ33" s="28" t="n">
        <f aca="false">IF(AZ$3=2,Assumptions!$F$33,0)+IF(AND(AZ$3&gt;12,MOD(AZ$3,12)=2),Assumptions!$F$34*AZ8,0)</f>
        <v>3147.03872</v>
      </c>
      <c r="BA33" s="28" t="n">
        <f aca="false">IF(BA$3=2,Assumptions!$F$33,0)+IF(AND(BA$3&gt;12,MOD(BA$3,12)=2),Assumptions!$F$34*BA8,0)</f>
        <v>0</v>
      </c>
      <c r="BB33" s="28" t="n">
        <f aca="false">IF(BB$3=2,Assumptions!$F$33,0)+IF(AND(BB$3&gt;12,MOD(BB$3,12)=2),Assumptions!$F$34*BB8,0)</f>
        <v>0</v>
      </c>
      <c r="BC33" s="28" t="n">
        <f aca="false">IF(BC$3=2,Assumptions!$F$33,0)+IF(AND(BC$3&gt;12,MOD(BC$3,12)=2),Assumptions!$F$34*BC8,0)</f>
        <v>0</v>
      </c>
      <c r="BD33" s="28" t="n">
        <f aca="false">IF(BD$3=2,Assumptions!$F$33,0)+IF(AND(BD$3&gt;12,MOD(BD$3,12)=2),Assumptions!$F$34*BD8,0)</f>
        <v>0</v>
      </c>
      <c r="BE33" s="28" t="n">
        <f aca="false">IF(BE$3=2,Assumptions!$F$33,0)+IF(AND(BE$3&gt;12,MOD(BE$3,12)=2),Assumptions!$F$34*BE8,0)</f>
        <v>0</v>
      </c>
      <c r="BF33" s="28" t="n">
        <f aca="false">IF(BF$3=2,Assumptions!$F$33,0)+IF(AND(BF$3&gt;12,MOD(BF$3,12)=2),Assumptions!$F$34*BF8,0)</f>
        <v>0</v>
      </c>
      <c r="BG33" s="28" t="n">
        <f aca="false">IF(BG$3=2,Assumptions!$F$33,0)+IF(AND(BG$3&gt;12,MOD(BG$3,12)=2),Assumptions!$F$34*BG8,0)</f>
        <v>0</v>
      </c>
      <c r="BH33" s="28" t="n">
        <f aca="false">IF(BH$3=2,Assumptions!$F$33,0)+IF(AND(BH$3&gt;12,MOD(BH$3,12)=2),Assumptions!$F$34*BH8,0)</f>
        <v>0</v>
      </c>
      <c r="BI33" s="28" t="n">
        <f aca="false">IF(BI$3=2,Assumptions!$F$33,0)+IF(AND(BI$3&gt;12,MOD(BI$3,12)=2),Assumptions!$F$34*BI8,0)</f>
        <v>0</v>
      </c>
      <c r="BJ33" s="28" t="n">
        <f aca="false">IF(BJ$3=2,Assumptions!$F$33,0)+IF(AND(BJ$3&gt;12,MOD(BJ$3,12)=2),Assumptions!$F$34*BJ8,0)</f>
        <v>0</v>
      </c>
    </row>
    <row r="34" customFormat="false" ht="15" hidden="false" customHeight="false" outlineLevel="0" collapsed="false">
      <c r="A34" s="7" t="s">
        <v>173</v>
      </c>
      <c r="B34" s="4"/>
      <c r="C34" s="20" t="n">
        <f aca="false">C29+C30+C31+C32+C33</f>
        <v>0</v>
      </c>
      <c r="D34" s="20" t="n">
        <f aca="false">D29+D30+D31+D32+D33</f>
        <v>3000</v>
      </c>
      <c r="E34" s="20" t="n">
        <f aca="false">E29+E30+E31+E32+E33</f>
        <v>0</v>
      </c>
      <c r="F34" s="20" t="n">
        <f aca="false">F29+F30+F31+F32+F33</f>
        <v>11629.1666666667</v>
      </c>
      <c r="G34" s="20" t="n">
        <f aca="false">G29+G30+G31+G32+G33</f>
        <v>11629.1666666667</v>
      </c>
      <c r="H34" s="20" t="n">
        <f aca="false">H29+H30+H31+H32+H33</f>
        <v>11629.1666666667</v>
      </c>
      <c r="I34" s="20" t="n">
        <f aca="false">I29+I30+I31+I32+I33</f>
        <v>11629.1666666667</v>
      </c>
      <c r="J34" s="20" t="n">
        <f aca="false">J29+J30+J31+J32+J33</f>
        <v>11629.1666666667</v>
      </c>
      <c r="K34" s="20" t="n">
        <f aca="false">K29+K30+K31+K32+K33</f>
        <v>11629.1666666667</v>
      </c>
      <c r="L34" s="20" t="n">
        <f aca="false">L29+L30+L31+L32+L33</f>
        <v>11629.1666666667</v>
      </c>
      <c r="M34" s="20" t="n">
        <f aca="false">M29+M30+M31+M32+M33</f>
        <v>11629.1666666667</v>
      </c>
      <c r="N34" s="20" t="n">
        <f aca="false">N29+N30+N31+N32+N33</f>
        <v>11629.1666666667</v>
      </c>
      <c r="O34" s="20" t="n">
        <f aca="false">O29+O30+O31+O32+O33</f>
        <v>13024.6666666667</v>
      </c>
      <c r="P34" s="20" t="n">
        <f aca="false">P29+P30+P31+P32+P33</f>
        <v>15264.6666666667</v>
      </c>
      <c r="Q34" s="20" t="n">
        <f aca="false">Q29+Q30+Q31+Q32+Q33</f>
        <v>13024.6666666667</v>
      </c>
      <c r="R34" s="20" t="n">
        <f aca="false">R29+R30+R31+R32+R33</f>
        <v>13024.6666666667</v>
      </c>
      <c r="S34" s="20" t="n">
        <f aca="false">S29+S30+S31+S32+S33</f>
        <v>13024.6666666667</v>
      </c>
      <c r="T34" s="20" t="n">
        <f aca="false">T29+T30+T31+T32+T33</f>
        <v>13024.6666666667</v>
      </c>
      <c r="U34" s="20" t="n">
        <f aca="false">U29+U30+U31+U32+U33</f>
        <v>13024.6666666667</v>
      </c>
      <c r="V34" s="20" t="n">
        <f aca="false">V29+V30+V31+V32+V33</f>
        <v>13024.6666666667</v>
      </c>
      <c r="W34" s="20" t="n">
        <f aca="false">W29+W30+W31+W32+W33</f>
        <v>13024.6666666667</v>
      </c>
      <c r="X34" s="20" t="n">
        <f aca="false">X29+X30+X31+X32+X33</f>
        <v>13024.6666666667</v>
      </c>
      <c r="Y34" s="20" t="n">
        <f aca="false">Y29+Y30+Y31+Y32+Y33</f>
        <v>13024.6666666667</v>
      </c>
      <c r="Z34" s="20" t="n">
        <f aca="false">Z29+Z30+Z31+Z32+Z33</f>
        <v>13024.6666666667</v>
      </c>
      <c r="AA34" s="20" t="n">
        <f aca="false">AA29+AA30+AA31+AA32+AA33</f>
        <v>14587.6266666667</v>
      </c>
      <c r="AB34" s="20" t="n">
        <f aca="false">AB29+AB30+AB31+AB32+AB33</f>
        <v>17096.4266666667</v>
      </c>
      <c r="AC34" s="20" t="n">
        <f aca="false">AC29+AC30+AC31+AC32+AC33</f>
        <v>14587.6266666667</v>
      </c>
      <c r="AD34" s="20" t="n">
        <f aca="false">AD29+AD30+AD31+AD32+AD33</f>
        <v>14587.6266666667</v>
      </c>
      <c r="AE34" s="20" t="n">
        <f aca="false">AE29+AE30+AE31+AE32+AE33</f>
        <v>14587.6266666667</v>
      </c>
      <c r="AF34" s="20" t="n">
        <f aca="false">AF29+AF30+AF31+AF32+AF33</f>
        <v>14587.6266666667</v>
      </c>
      <c r="AG34" s="20" t="n">
        <f aca="false">AG29+AG30+AG31+AG32+AG33</f>
        <v>14587.6266666667</v>
      </c>
      <c r="AH34" s="20" t="n">
        <f aca="false">AH29+AH30+AH31+AH32+AH33</f>
        <v>14587.6266666667</v>
      </c>
      <c r="AI34" s="20" t="n">
        <f aca="false">AI29+AI30+AI31+AI32+AI33</f>
        <v>14587.6266666667</v>
      </c>
      <c r="AJ34" s="20" t="n">
        <f aca="false">AJ29+AJ30+AJ31+AJ32+AJ33</f>
        <v>14587.6266666667</v>
      </c>
      <c r="AK34" s="20" t="n">
        <f aca="false">AK29+AK30+AK31+AK32+AK33</f>
        <v>14587.6266666667</v>
      </c>
      <c r="AL34" s="20" t="n">
        <f aca="false">AL29+AL30+AL31+AL32+AL33</f>
        <v>14587.6266666667</v>
      </c>
      <c r="AM34" s="20" t="n">
        <f aca="false">AM29+AM30+AM31+AM32+AM33</f>
        <v>16338.1418666667</v>
      </c>
      <c r="AN34" s="20" t="n">
        <f aca="false">AN29+AN30+AN31+AN32+AN33</f>
        <v>19147.9978666667</v>
      </c>
      <c r="AO34" s="20" t="n">
        <f aca="false">AO29+AO30+AO31+AO32+AO33</f>
        <v>16338.1418666667</v>
      </c>
      <c r="AP34" s="20" t="n">
        <f aca="false">AP29+AP30+AP31+AP32+AP33</f>
        <v>16338.1418666667</v>
      </c>
      <c r="AQ34" s="20" t="n">
        <f aca="false">AQ29+AQ30+AQ31+AQ32+AQ33</f>
        <v>16338.1418666667</v>
      </c>
      <c r="AR34" s="20" t="n">
        <f aca="false">AR29+AR30+AR31+AR32+AR33</f>
        <v>16338.1418666667</v>
      </c>
      <c r="AS34" s="20" t="n">
        <f aca="false">AS29+AS30+AS31+AS32+AS33</f>
        <v>16338.1418666667</v>
      </c>
      <c r="AT34" s="20" t="n">
        <f aca="false">AT29+AT30+AT31+AT32+AT33</f>
        <v>16338.1418666667</v>
      </c>
      <c r="AU34" s="20" t="n">
        <f aca="false">AU29+AU30+AU31+AU32+AU33</f>
        <v>16338.1418666667</v>
      </c>
      <c r="AV34" s="20" t="n">
        <f aca="false">AV29+AV30+AV31+AV32+AV33</f>
        <v>16338.1418666667</v>
      </c>
      <c r="AW34" s="20" t="n">
        <f aca="false">AW29+AW30+AW31+AW32+AW33</f>
        <v>16338.1418666667</v>
      </c>
      <c r="AX34" s="20" t="n">
        <f aca="false">AX29+AX30+AX31+AX32+AX33</f>
        <v>16338.1418666667</v>
      </c>
      <c r="AY34" s="20" t="n">
        <f aca="false">AY29+AY30+AY31+AY32+AY33</f>
        <v>18298.7188906667</v>
      </c>
      <c r="AZ34" s="20" t="n">
        <f aca="false">AZ29+AZ30+AZ31+AZ32+AZ33</f>
        <v>21445.7576106667</v>
      </c>
      <c r="BA34" s="20" t="n">
        <f aca="false">BA29+BA30+BA31+BA32+BA33</f>
        <v>18298.7188906667</v>
      </c>
      <c r="BB34" s="20" t="n">
        <f aca="false">BB29+BB30+BB31+BB32+BB33</f>
        <v>18298.7188906667</v>
      </c>
      <c r="BC34" s="20" t="n">
        <f aca="false">BC29+BC30+BC31+BC32+BC33</f>
        <v>18298.7188906667</v>
      </c>
      <c r="BD34" s="20" t="n">
        <f aca="false">BD29+BD30+BD31+BD32+BD33</f>
        <v>18298.7188906667</v>
      </c>
      <c r="BE34" s="20" t="n">
        <f aca="false">BE29+BE30+BE31+BE32+BE33</f>
        <v>18298.7188906667</v>
      </c>
      <c r="BF34" s="20" t="n">
        <f aca="false">BF29+BF30+BF31+BF32+BF33</f>
        <v>18298.7188906667</v>
      </c>
      <c r="BG34" s="20" t="n">
        <f aca="false">BG29+BG30+BG31+BG32+BG33</f>
        <v>18298.7188906667</v>
      </c>
      <c r="BH34" s="20" t="n">
        <f aca="false">BH29+BH30+BH31+BH32+BH33</f>
        <v>18298.7188906667</v>
      </c>
      <c r="BI34" s="20" t="n">
        <f aca="false">BI29+BI30+BI31+BI32+BI33</f>
        <v>18298.7188906667</v>
      </c>
      <c r="BJ34" s="20" t="n">
        <f aca="false">BJ29+BJ30+BJ31+BJ32+BJ33</f>
        <v>18298.7188906667</v>
      </c>
    </row>
    <row r="35" customFormat="false" ht="15" hidden="false" customHeight="false" outlineLevel="0" collapsed="false">
      <c r="A35" s="4" t="s">
        <v>174</v>
      </c>
      <c r="B35" s="4"/>
      <c r="C35" s="28" t="n">
        <f aca="false">C28*Assumptions!$F$29*C8</f>
        <v>0</v>
      </c>
      <c r="D35" s="28" t="n">
        <f aca="false">D28*Assumptions!$F$29*D8</f>
        <v>0</v>
      </c>
      <c r="E35" s="28" t="n">
        <f aca="false">E28*Assumptions!$F$29*E8</f>
        <v>0</v>
      </c>
      <c r="F35" s="28" t="n">
        <f aca="false">F28*Assumptions!$F$29*F8</f>
        <v>7000</v>
      </c>
      <c r="G35" s="28" t="n">
        <f aca="false">G28*Assumptions!$F$29*G8</f>
        <v>7000</v>
      </c>
      <c r="H35" s="28" t="n">
        <f aca="false">H28*Assumptions!$F$29*H8</f>
        <v>7000</v>
      </c>
      <c r="I35" s="28" t="n">
        <f aca="false">I28*Assumptions!$F$29*I8</f>
        <v>7000</v>
      </c>
      <c r="J35" s="28" t="n">
        <f aca="false">J28*Assumptions!$F$29*J8</f>
        <v>7000</v>
      </c>
      <c r="K35" s="28" t="n">
        <f aca="false">K28*Assumptions!$F$29*K8</f>
        <v>7000</v>
      </c>
      <c r="L35" s="28" t="n">
        <f aca="false">L28*Assumptions!$F$29*L8</f>
        <v>7000</v>
      </c>
      <c r="M35" s="28" t="n">
        <f aca="false">M28*Assumptions!$F$29*M8</f>
        <v>7000</v>
      </c>
      <c r="N35" s="28" t="n">
        <f aca="false">N28*Assumptions!$F$29*N8</f>
        <v>7000</v>
      </c>
      <c r="O35" s="28" t="n">
        <f aca="false">O28*Assumptions!$F$29*O8</f>
        <v>7840</v>
      </c>
      <c r="P35" s="28" t="n">
        <f aca="false">P28*Assumptions!$F$29*P8</f>
        <v>7840</v>
      </c>
      <c r="Q35" s="28" t="n">
        <f aca="false">Q28*Assumptions!$F$29*Q8</f>
        <v>7840</v>
      </c>
      <c r="R35" s="28" t="n">
        <f aca="false">R28*Assumptions!$F$29*R8</f>
        <v>7840</v>
      </c>
      <c r="S35" s="28" t="n">
        <f aca="false">S28*Assumptions!$F$29*S8</f>
        <v>7840</v>
      </c>
      <c r="T35" s="28" t="n">
        <f aca="false">T28*Assumptions!$F$29*T8</f>
        <v>7840</v>
      </c>
      <c r="U35" s="28" t="n">
        <f aca="false">U28*Assumptions!$F$29*U8</f>
        <v>7840</v>
      </c>
      <c r="V35" s="28" t="n">
        <f aca="false">V28*Assumptions!$F$29*V8</f>
        <v>7840</v>
      </c>
      <c r="W35" s="28" t="n">
        <f aca="false">W28*Assumptions!$F$29*W8</f>
        <v>7840</v>
      </c>
      <c r="X35" s="28" t="n">
        <f aca="false">X28*Assumptions!$F$29*X8</f>
        <v>7840</v>
      </c>
      <c r="Y35" s="28" t="n">
        <f aca="false">Y28*Assumptions!$F$29*Y8</f>
        <v>7840</v>
      </c>
      <c r="Z35" s="28" t="n">
        <f aca="false">Z28*Assumptions!$F$29*Z8</f>
        <v>7840</v>
      </c>
      <c r="AA35" s="28" t="n">
        <f aca="false">AA28*Assumptions!$F$29*AA8</f>
        <v>8780.8</v>
      </c>
      <c r="AB35" s="28" t="n">
        <f aca="false">AB28*Assumptions!$F$29*AB8</f>
        <v>8780.8</v>
      </c>
      <c r="AC35" s="28" t="n">
        <f aca="false">AC28*Assumptions!$F$29*AC8</f>
        <v>8780.8</v>
      </c>
      <c r="AD35" s="28" t="n">
        <f aca="false">AD28*Assumptions!$F$29*AD8</f>
        <v>8780.8</v>
      </c>
      <c r="AE35" s="28" t="n">
        <f aca="false">AE28*Assumptions!$F$29*AE8</f>
        <v>8780.8</v>
      </c>
      <c r="AF35" s="28" t="n">
        <f aca="false">AF28*Assumptions!$F$29*AF8</f>
        <v>8780.8</v>
      </c>
      <c r="AG35" s="28" t="n">
        <f aca="false">AG28*Assumptions!$F$29*AG8</f>
        <v>8780.8</v>
      </c>
      <c r="AH35" s="28" t="n">
        <f aca="false">AH28*Assumptions!$F$29*AH8</f>
        <v>8780.8</v>
      </c>
      <c r="AI35" s="28" t="n">
        <f aca="false">AI28*Assumptions!$F$29*AI8</f>
        <v>8780.8</v>
      </c>
      <c r="AJ35" s="28" t="n">
        <f aca="false">AJ28*Assumptions!$F$29*AJ8</f>
        <v>8780.8</v>
      </c>
      <c r="AK35" s="28" t="n">
        <f aca="false">AK28*Assumptions!$F$29*AK8</f>
        <v>8780.8</v>
      </c>
      <c r="AL35" s="28" t="n">
        <f aca="false">AL28*Assumptions!$F$29*AL8</f>
        <v>8780.8</v>
      </c>
      <c r="AM35" s="28" t="n">
        <f aca="false">AM28*Assumptions!$F$29*AM8</f>
        <v>9834.496</v>
      </c>
      <c r="AN35" s="28" t="n">
        <f aca="false">AN28*Assumptions!$F$29*AN8</f>
        <v>9834.496</v>
      </c>
      <c r="AO35" s="28" t="n">
        <f aca="false">AO28*Assumptions!$F$29*AO8</f>
        <v>9834.496</v>
      </c>
      <c r="AP35" s="28" t="n">
        <f aca="false">AP28*Assumptions!$F$29*AP8</f>
        <v>9834.496</v>
      </c>
      <c r="AQ35" s="28" t="n">
        <f aca="false">AQ28*Assumptions!$F$29*AQ8</f>
        <v>9834.496</v>
      </c>
      <c r="AR35" s="28" t="n">
        <f aca="false">AR28*Assumptions!$F$29*AR8</f>
        <v>9834.496</v>
      </c>
      <c r="AS35" s="28" t="n">
        <f aca="false">AS28*Assumptions!$F$29*AS8</f>
        <v>9834.496</v>
      </c>
      <c r="AT35" s="28" t="n">
        <f aca="false">AT28*Assumptions!$F$29*AT8</f>
        <v>9834.496</v>
      </c>
      <c r="AU35" s="28" t="n">
        <f aca="false">AU28*Assumptions!$F$29*AU8</f>
        <v>9834.496</v>
      </c>
      <c r="AV35" s="28" t="n">
        <f aca="false">AV28*Assumptions!$F$29*AV8</f>
        <v>9834.496</v>
      </c>
      <c r="AW35" s="28" t="n">
        <f aca="false">AW28*Assumptions!$F$29*AW8</f>
        <v>9834.496</v>
      </c>
      <c r="AX35" s="28" t="n">
        <f aca="false">AX28*Assumptions!$F$29*AX8</f>
        <v>9834.496</v>
      </c>
      <c r="AY35" s="28" t="n">
        <f aca="false">AY28*Assumptions!$F$29*AY8</f>
        <v>11014.63552</v>
      </c>
      <c r="AZ35" s="28" t="n">
        <f aca="false">AZ28*Assumptions!$F$29*AZ8</f>
        <v>11014.63552</v>
      </c>
      <c r="BA35" s="28" t="n">
        <f aca="false">BA28*Assumptions!$F$29*BA8</f>
        <v>11014.63552</v>
      </c>
      <c r="BB35" s="28" t="n">
        <f aca="false">BB28*Assumptions!$F$29*BB8</f>
        <v>11014.63552</v>
      </c>
      <c r="BC35" s="28" t="n">
        <f aca="false">BC28*Assumptions!$F$29*BC8</f>
        <v>11014.63552</v>
      </c>
      <c r="BD35" s="28" t="n">
        <f aca="false">BD28*Assumptions!$F$29*BD8</f>
        <v>11014.63552</v>
      </c>
      <c r="BE35" s="28" t="n">
        <f aca="false">BE28*Assumptions!$F$29*BE8</f>
        <v>11014.63552</v>
      </c>
      <c r="BF35" s="28" t="n">
        <f aca="false">BF28*Assumptions!$F$29*BF8</f>
        <v>11014.63552</v>
      </c>
      <c r="BG35" s="28" t="n">
        <f aca="false">BG28*Assumptions!$F$29*BG8</f>
        <v>11014.63552</v>
      </c>
      <c r="BH35" s="28" t="n">
        <f aca="false">BH28*Assumptions!$F$29*BH8</f>
        <v>11014.63552</v>
      </c>
      <c r="BI35" s="28" t="n">
        <f aca="false">BI28*Assumptions!$F$29*BI8</f>
        <v>11014.63552</v>
      </c>
      <c r="BJ35" s="28" t="n">
        <f aca="false">BJ28*Assumptions!$F$29*BJ8</f>
        <v>11014.63552</v>
      </c>
    </row>
    <row r="36" customFormat="false" ht="15" hidden="false" customHeight="false" outlineLevel="0" collapsed="false">
      <c r="A36" s="7" t="s">
        <v>175</v>
      </c>
      <c r="B36" s="4"/>
      <c r="C36" s="20" t="n">
        <f aca="false">C14-C24-C34</f>
        <v>0</v>
      </c>
      <c r="D36" s="20" t="n">
        <f aca="false">D14-D24-D34</f>
        <v>-3000</v>
      </c>
      <c r="E36" s="20" t="n">
        <f aca="false">E14-E24-E34</f>
        <v>0</v>
      </c>
      <c r="F36" s="20" t="n">
        <f aca="false">F14-F24-F34</f>
        <v>-11629.1666666667</v>
      </c>
      <c r="G36" s="20" t="n">
        <f aca="false">G14-G24-G34</f>
        <v>-97829.1666666667</v>
      </c>
      <c r="H36" s="20" t="n">
        <f aca="false">H14-H24-H34</f>
        <v>144570.833333333</v>
      </c>
      <c r="I36" s="20" t="n">
        <f aca="false">I14-I24-I34</f>
        <v>-11629.1666666667</v>
      </c>
      <c r="J36" s="20" t="n">
        <f aca="false">J14-J24-J34</f>
        <v>-97829.1666666667</v>
      </c>
      <c r="K36" s="20" t="n">
        <f aca="false">K14-K24-K34</f>
        <v>144570.833333333</v>
      </c>
      <c r="L36" s="20" t="n">
        <f aca="false">L14-L24-L34</f>
        <v>-11629.1666666667</v>
      </c>
      <c r="M36" s="20" t="n">
        <f aca="false">M14-M24-M34</f>
        <v>-97829.1666666667</v>
      </c>
      <c r="N36" s="20" t="n">
        <f aca="false">N14-N24-N34</f>
        <v>144570.833333333</v>
      </c>
      <c r="O36" s="20" t="n">
        <f aca="false">O14-O24-O34</f>
        <v>-13024.6666666667</v>
      </c>
      <c r="P36" s="20" t="n">
        <f aca="false">P14-P24-P34</f>
        <v>-111808.666666667</v>
      </c>
      <c r="Q36" s="20" t="n">
        <f aca="false">Q14-Q24-Q34</f>
        <v>161919.333333333</v>
      </c>
      <c r="R36" s="20" t="n">
        <f aca="false">R14-R24-R34</f>
        <v>-13024.6666666667</v>
      </c>
      <c r="S36" s="20" t="n">
        <f aca="false">S14-S24-S34</f>
        <v>-109568.666666667</v>
      </c>
      <c r="T36" s="20" t="n">
        <f aca="false">T14-T24-T34</f>
        <v>161919.333333333</v>
      </c>
      <c r="U36" s="20" t="n">
        <f aca="false">U14-U24-U34</f>
        <v>-13024.6666666667</v>
      </c>
      <c r="V36" s="20" t="n">
        <f aca="false">V14-V24-V34</f>
        <v>-109568.666666667</v>
      </c>
      <c r="W36" s="20" t="n">
        <f aca="false">W14-W24-W34</f>
        <v>161919.333333333</v>
      </c>
      <c r="X36" s="20" t="n">
        <f aca="false">X14-X24-X34</f>
        <v>-13024.6666666667</v>
      </c>
      <c r="Y36" s="20" t="n">
        <f aca="false">Y14-Y24-Y34</f>
        <v>-109568.666666667</v>
      </c>
      <c r="Z36" s="20" t="n">
        <f aca="false">Z14-Z24-Z34</f>
        <v>161919.333333333</v>
      </c>
      <c r="AA36" s="20" t="n">
        <f aca="false">AA14-AA24-AA34</f>
        <v>-14587.6266666667</v>
      </c>
      <c r="AB36" s="20" t="n">
        <f aca="false">AB14-AB24-AB34</f>
        <v>-125225.706666667</v>
      </c>
      <c r="AC36" s="20" t="n">
        <f aca="false">AC14-AC24-AC34</f>
        <v>181349.653333333</v>
      </c>
      <c r="AD36" s="20" t="n">
        <f aca="false">AD14-AD24-AD34</f>
        <v>-14587.6266666667</v>
      </c>
      <c r="AE36" s="20" t="n">
        <f aca="false">AE14-AE24-AE34</f>
        <v>-122716.906666667</v>
      </c>
      <c r="AF36" s="20" t="n">
        <f aca="false">AF14-AF24-AF34</f>
        <v>181349.653333333</v>
      </c>
      <c r="AG36" s="20" t="n">
        <f aca="false">AG14-AG24-AG34</f>
        <v>-14587.6266666667</v>
      </c>
      <c r="AH36" s="20" t="n">
        <f aca="false">AH14-AH24-AH34</f>
        <v>-122716.906666667</v>
      </c>
      <c r="AI36" s="20" t="n">
        <f aca="false">AI14-AI24-AI34</f>
        <v>181349.653333333</v>
      </c>
      <c r="AJ36" s="20" t="n">
        <f aca="false">AJ14-AJ24-AJ34</f>
        <v>-14587.6266666667</v>
      </c>
      <c r="AK36" s="20" t="n">
        <f aca="false">AK14-AK24-AK34</f>
        <v>-122716.906666667</v>
      </c>
      <c r="AL36" s="20" t="n">
        <f aca="false">AL14-AL24-AL34</f>
        <v>181349.653333333</v>
      </c>
      <c r="AM36" s="20" t="n">
        <f aca="false">AM14-AM24-AM34</f>
        <v>-16338.1418666667</v>
      </c>
      <c r="AN36" s="20" t="n">
        <f aca="false">AN14-AN24-AN34</f>
        <v>-140252.791466667</v>
      </c>
      <c r="AO36" s="20" t="n">
        <f aca="false">AO14-AO24-AO34</f>
        <v>203111.611733333</v>
      </c>
      <c r="AP36" s="20" t="n">
        <f aca="false">AP14-AP24-AP34</f>
        <v>-16338.1418666667</v>
      </c>
      <c r="AQ36" s="20" t="n">
        <f aca="false">AQ14-AQ24-AQ34</f>
        <v>-137442.935466667</v>
      </c>
      <c r="AR36" s="20" t="n">
        <f aca="false">AR14-AR24-AR34</f>
        <v>203111.611733333</v>
      </c>
      <c r="AS36" s="20" t="n">
        <f aca="false">AS14-AS24-AS34</f>
        <v>-16338.1418666667</v>
      </c>
      <c r="AT36" s="20" t="n">
        <f aca="false">AT14-AT24-AT34</f>
        <v>-137442.935466667</v>
      </c>
      <c r="AU36" s="20" t="n">
        <f aca="false">AU14-AU24-AU34</f>
        <v>203111.611733333</v>
      </c>
      <c r="AV36" s="20" t="n">
        <f aca="false">AV14-AV24-AV34</f>
        <v>-16338.1418666667</v>
      </c>
      <c r="AW36" s="20" t="n">
        <f aca="false">AW14-AW24-AW34</f>
        <v>-137442.935466667</v>
      </c>
      <c r="AX36" s="20" t="n">
        <f aca="false">AX14-AX24-AX34</f>
        <v>203111.611733333</v>
      </c>
      <c r="AY36" s="20" t="n">
        <f aca="false">AY14-AY24-AY34</f>
        <v>-18298.7188906667</v>
      </c>
      <c r="AZ36" s="20" t="n">
        <f aca="false">AZ14-AZ24-AZ34</f>
        <v>-157083.126442667</v>
      </c>
      <c r="BA36" s="20" t="n">
        <f aca="false">BA14-BA24-BA34</f>
        <v>227485.005141333</v>
      </c>
      <c r="BB36" s="20" t="n">
        <f aca="false">BB14-BB24-BB34</f>
        <v>-18298.7188906667</v>
      </c>
      <c r="BC36" s="20" t="n">
        <f aca="false">BC14-BC24-BC34</f>
        <v>-153936.087722667</v>
      </c>
      <c r="BD36" s="20" t="n">
        <f aca="false">BD14-BD24-BD34</f>
        <v>227485.005141333</v>
      </c>
      <c r="BE36" s="20" t="n">
        <f aca="false">BE14-BE24-BE34</f>
        <v>-18298.7188906667</v>
      </c>
      <c r="BF36" s="20" t="n">
        <f aca="false">BF14-BF24-BF34</f>
        <v>-153936.087722667</v>
      </c>
      <c r="BG36" s="20" t="n">
        <f aca="false">BG14-BG24-BG34</f>
        <v>227485.005141333</v>
      </c>
      <c r="BH36" s="20" t="n">
        <f aca="false">BH14-BH24-BH34</f>
        <v>-18298.7188906667</v>
      </c>
      <c r="BI36" s="20" t="n">
        <f aca="false">BI14-BI24-BI34</f>
        <v>-153936.087722667</v>
      </c>
      <c r="BJ36" s="20" t="n">
        <f aca="false">BJ14-BJ24-BJ34</f>
        <v>227485.005141333</v>
      </c>
    </row>
    <row r="37" customFormat="false" ht="15" hidden="false" customHeight="false" outlineLevel="0" collapsed="false">
      <c r="A37" s="15" t="s">
        <v>176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</row>
    <row r="38" customFormat="false" ht="15" hidden="false" customHeight="false" outlineLevel="0" collapsed="false">
      <c r="A38" s="4" t="s">
        <v>177</v>
      </c>
      <c r="B38" s="4"/>
      <c r="C38" s="28" t="n">
        <f aca="false">IF(C$3=Assumptions!$F$7,Assumptions!$F$36+Assumptions!$F$37,0)</f>
        <v>0</v>
      </c>
      <c r="D38" s="28" t="n">
        <f aca="false">IF(D$3=Assumptions!$F$7,Assumptions!$F$36+Assumptions!$F$37,0)</f>
        <v>0</v>
      </c>
      <c r="E38" s="28" t="n">
        <f aca="false">IF(E$3=Assumptions!$F$7,Assumptions!$F$36+Assumptions!$F$37,0)</f>
        <v>295000</v>
      </c>
      <c r="F38" s="28" t="n">
        <f aca="false">IF(F$3=Assumptions!$F$7,Assumptions!$F$36+Assumptions!$F$37,0)</f>
        <v>0</v>
      </c>
      <c r="G38" s="28" t="n">
        <f aca="false">IF(G$3=Assumptions!$F$7,Assumptions!$F$36+Assumptions!$F$37,0)</f>
        <v>0</v>
      </c>
      <c r="H38" s="28" t="n">
        <f aca="false">IF(H$3=Assumptions!$F$7,Assumptions!$F$36+Assumptions!$F$37,0)</f>
        <v>0</v>
      </c>
      <c r="I38" s="28" t="n">
        <f aca="false">IF(I$3=Assumptions!$F$7,Assumptions!$F$36+Assumptions!$F$37,0)</f>
        <v>0</v>
      </c>
      <c r="J38" s="28" t="n">
        <f aca="false">IF(J$3=Assumptions!$F$7,Assumptions!$F$36+Assumptions!$F$37,0)</f>
        <v>0</v>
      </c>
      <c r="K38" s="28" t="n">
        <f aca="false">IF(K$3=Assumptions!$F$7,Assumptions!$F$36+Assumptions!$F$37,0)</f>
        <v>0</v>
      </c>
      <c r="L38" s="28" t="n">
        <f aca="false">IF(L$3=Assumptions!$F$7,Assumptions!$F$36+Assumptions!$F$37,0)</f>
        <v>0</v>
      </c>
      <c r="M38" s="28" t="n">
        <f aca="false">IF(M$3=Assumptions!$F$7,Assumptions!$F$36+Assumptions!$F$37,0)</f>
        <v>0</v>
      </c>
      <c r="N38" s="28" t="n">
        <f aca="false">IF(N$3=Assumptions!$F$7,Assumptions!$F$36+Assumptions!$F$37,0)</f>
        <v>0</v>
      </c>
      <c r="O38" s="28" t="n">
        <f aca="false">IF(O$3=Assumptions!$F$7,Assumptions!$F$36+Assumptions!$F$37,0)</f>
        <v>0</v>
      </c>
      <c r="P38" s="28" t="n">
        <f aca="false">IF(P$3=Assumptions!$F$7,Assumptions!$F$36+Assumptions!$F$37,0)</f>
        <v>0</v>
      </c>
      <c r="Q38" s="28" t="n">
        <f aca="false">IF(Q$3=Assumptions!$F$7,Assumptions!$F$36+Assumptions!$F$37,0)</f>
        <v>0</v>
      </c>
      <c r="R38" s="28" t="n">
        <f aca="false">IF(R$3=Assumptions!$F$7,Assumptions!$F$36+Assumptions!$F$37,0)</f>
        <v>0</v>
      </c>
      <c r="S38" s="28" t="n">
        <f aca="false">IF(S$3=Assumptions!$F$7,Assumptions!$F$36+Assumptions!$F$37,0)</f>
        <v>0</v>
      </c>
      <c r="T38" s="28" t="n">
        <f aca="false">IF(T$3=Assumptions!$F$7,Assumptions!$F$36+Assumptions!$F$37,0)</f>
        <v>0</v>
      </c>
      <c r="U38" s="28" t="n">
        <f aca="false">IF(U$3=Assumptions!$F$7,Assumptions!$F$36+Assumptions!$F$37,0)</f>
        <v>0</v>
      </c>
      <c r="V38" s="28" t="n">
        <f aca="false">IF(V$3=Assumptions!$F$7,Assumptions!$F$36+Assumptions!$F$37,0)</f>
        <v>0</v>
      </c>
      <c r="W38" s="28" t="n">
        <f aca="false">IF(W$3=Assumptions!$F$7,Assumptions!$F$36+Assumptions!$F$37,0)</f>
        <v>0</v>
      </c>
      <c r="X38" s="28" t="n">
        <f aca="false">IF(X$3=Assumptions!$F$7,Assumptions!$F$36+Assumptions!$F$37,0)</f>
        <v>0</v>
      </c>
      <c r="Y38" s="28" t="n">
        <f aca="false">IF(Y$3=Assumptions!$F$7,Assumptions!$F$36+Assumptions!$F$37,0)</f>
        <v>0</v>
      </c>
      <c r="Z38" s="28" t="n">
        <f aca="false">IF(Z$3=Assumptions!$F$7,Assumptions!$F$36+Assumptions!$F$37,0)</f>
        <v>0</v>
      </c>
      <c r="AA38" s="28" t="n">
        <f aca="false">IF(AA$3=Assumptions!$F$7,Assumptions!$F$36+Assumptions!$F$37,0)</f>
        <v>0</v>
      </c>
      <c r="AB38" s="28" t="n">
        <f aca="false">IF(AB$3=Assumptions!$F$7,Assumptions!$F$36+Assumptions!$F$37,0)</f>
        <v>0</v>
      </c>
      <c r="AC38" s="28" t="n">
        <f aca="false">IF(AC$3=Assumptions!$F$7,Assumptions!$F$36+Assumptions!$F$37,0)</f>
        <v>0</v>
      </c>
      <c r="AD38" s="28" t="n">
        <f aca="false">IF(AD$3=Assumptions!$F$7,Assumptions!$F$36+Assumptions!$F$37,0)</f>
        <v>0</v>
      </c>
      <c r="AE38" s="28" t="n">
        <f aca="false">IF(AE$3=Assumptions!$F$7,Assumptions!$F$36+Assumptions!$F$37,0)</f>
        <v>0</v>
      </c>
      <c r="AF38" s="28" t="n">
        <f aca="false">IF(AF$3=Assumptions!$F$7,Assumptions!$F$36+Assumptions!$F$37,0)</f>
        <v>0</v>
      </c>
      <c r="AG38" s="28" t="n">
        <f aca="false">IF(AG$3=Assumptions!$F$7,Assumptions!$F$36+Assumptions!$F$37,0)</f>
        <v>0</v>
      </c>
      <c r="AH38" s="28" t="n">
        <f aca="false">IF(AH$3=Assumptions!$F$7,Assumptions!$F$36+Assumptions!$F$37,0)</f>
        <v>0</v>
      </c>
      <c r="AI38" s="28" t="n">
        <f aca="false">IF(AI$3=Assumptions!$F$7,Assumptions!$F$36+Assumptions!$F$37,0)</f>
        <v>0</v>
      </c>
      <c r="AJ38" s="28" t="n">
        <f aca="false">IF(AJ$3=Assumptions!$F$7,Assumptions!$F$36+Assumptions!$F$37,0)</f>
        <v>0</v>
      </c>
      <c r="AK38" s="28" t="n">
        <f aca="false">IF(AK$3=Assumptions!$F$7,Assumptions!$F$36+Assumptions!$F$37,0)</f>
        <v>0</v>
      </c>
      <c r="AL38" s="28" t="n">
        <f aca="false">IF(AL$3=Assumptions!$F$7,Assumptions!$F$36+Assumptions!$F$37,0)</f>
        <v>0</v>
      </c>
      <c r="AM38" s="28" t="n">
        <f aca="false">IF(AM$3=Assumptions!$F$7,Assumptions!$F$36+Assumptions!$F$37,0)</f>
        <v>0</v>
      </c>
      <c r="AN38" s="28" t="n">
        <f aca="false">IF(AN$3=Assumptions!$F$7,Assumptions!$F$36+Assumptions!$F$37,0)</f>
        <v>0</v>
      </c>
      <c r="AO38" s="28" t="n">
        <f aca="false">IF(AO$3=Assumptions!$F$7,Assumptions!$F$36+Assumptions!$F$37,0)</f>
        <v>0</v>
      </c>
      <c r="AP38" s="28" t="n">
        <f aca="false">IF(AP$3=Assumptions!$F$7,Assumptions!$F$36+Assumptions!$F$37,0)</f>
        <v>0</v>
      </c>
      <c r="AQ38" s="28" t="n">
        <f aca="false">IF(AQ$3=Assumptions!$F$7,Assumptions!$F$36+Assumptions!$F$37,0)</f>
        <v>0</v>
      </c>
      <c r="AR38" s="28" t="n">
        <f aca="false">IF(AR$3=Assumptions!$F$7,Assumptions!$F$36+Assumptions!$F$37,0)</f>
        <v>0</v>
      </c>
      <c r="AS38" s="28" t="n">
        <f aca="false">IF(AS$3=Assumptions!$F$7,Assumptions!$F$36+Assumptions!$F$37,0)</f>
        <v>0</v>
      </c>
      <c r="AT38" s="28" t="n">
        <f aca="false">IF(AT$3=Assumptions!$F$7,Assumptions!$F$36+Assumptions!$F$37,0)</f>
        <v>0</v>
      </c>
      <c r="AU38" s="28" t="n">
        <f aca="false">IF(AU$3=Assumptions!$F$7,Assumptions!$F$36+Assumptions!$F$37,0)</f>
        <v>0</v>
      </c>
      <c r="AV38" s="28" t="n">
        <f aca="false">IF(AV$3=Assumptions!$F$7,Assumptions!$F$36+Assumptions!$F$37,0)</f>
        <v>0</v>
      </c>
      <c r="AW38" s="28" t="n">
        <f aca="false">IF(AW$3=Assumptions!$F$7,Assumptions!$F$36+Assumptions!$F$37,0)</f>
        <v>0</v>
      </c>
      <c r="AX38" s="28" t="n">
        <f aca="false">IF(AX$3=Assumptions!$F$7,Assumptions!$F$36+Assumptions!$F$37,0)</f>
        <v>0</v>
      </c>
      <c r="AY38" s="28" t="n">
        <f aca="false">IF(AY$3=Assumptions!$F$7,Assumptions!$F$36+Assumptions!$F$37,0)</f>
        <v>0</v>
      </c>
      <c r="AZ38" s="28" t="n">
        <f aca="false">IF(AZ$3=Assumptions!$F$7,Assumptions!$F$36+Assumptions!$F$37,0)</f>
        <v>0</v>
      </c>
      <c r="BA38" s="28" t="n">
        <f aca="false">IF(BA$3=Assumptions!$F$7,Assumptions!$F$36+Assumptions!$F$37,0)</f>
        <v>0</v>
      </c>
      <c r="BB38" s="28" t="n">
        <f aca="false">IF(BB$3=Assumptions!$F$7,Assumptions!$F$36+Assumptions!$F$37,0)</f>
        <v>0</v>
      </c>
      <c r="BC38" s="28" t="n">
        <f aca="false">IF(BC$3=Assumptions!$F$7,Assumptions!$F$36+Assumptions!$F$37,0)</f>
        <v>0</v>
      </c>
      <c r="BD38" s="28" t="n">
        <f aca="false">IF(BD$3=Assumptions!$F$7,Assumptions!$F$36+Assumptions!$F$37,0)</f>
        <v>0</v>
      </c>
      <c r="BE38" s="28" t="n">
        <f aca="false">IF(BE$3=Assumptions!$F$7,Assumptions!$F$36+Assumptions!$F$37,0)</f>
        <v>0</v>
      </c>
      <c r="BF38" s="28" t="n">
        <f aca="false">IF(BF$3=Assumptions!$F$7,Assumptions!$F$36+Assumptions!$F$37,0)</f>
        <v>0</v>
      </c>
      <c r="BG38" s="28" t="n">
        <f aca="false">IF(BG$3=Assumptions!$F$7,Assumptions!$F$36+Assumptions!$F$37,0)</f>
        <v>0</v>
      </c>
      <c r="BH38" s="28" t="n">
        <f aca="false">IF(BH$3=Assumptions!$F$7,Assumptions!$F$36+Assumptions!$F$37,0)</f>
        <v>0</v>
      </c>
      <c r="BI38" s="28" t="n">
        <f aca="false">IF(BI$3=Assumptions!$F$7,Assumptions!$F$36+Assumptions!$F$37,0)</f>
        <v>0</v>
      </c>
      <c r="BJ38" s="28" t="n">
        <f aca="false">IF(BJ$3=Assumptions!$F$7,Assumptions!$F$36+Assumptions!$F$37,0)</f>
        <v>0</v>
      </c>
    </row>
    <row r="39" customFormat="false" ht="15" hidden="false" customHeight="false" outlineLevel="0" collapsed="false">
      <c r="A39" s="4" t="s">
        <v>178</v>
      </c>
      <c r="B39" s="4"/>
      <c r="C39" s="28" t="n">
        <f aca="false">IF(C$3=Assumptions!$F$7,Assumptions!$F$36+Assumptions!$F$38,0)</f>
        <v>0</v>
      </c>
      <c r="D39" s="28" t="n">
        <f aca="false">IF(D$3=Assumptions!$F$7,Assumptions!$F$36+Assumptions!$F$38,0)</f>
        <v>0</v>
      </c>
      <c r="E39" s="28" t="n">
        <f aca="false">IF(E$3=Assumptions!$F$7,Assumptions!$F$36+Assumptions!$F$38,0)</f>
        <v>265000</v>
      </c>
      <c r="F39" s="28" t="n">
        <f aca="false">IF(F$3=Assumptions!$F$7,Assumptions!$F$36+Assumptions!$F$38,0)</f>
        <v>0</v>
      </c>
      <c r="G39" s="28" t="n">
        <f aca="false">IF(G$3=Assumptions!$F$7,Assumptions!$F$36+Assumptions!$F$38,0)</f>
        <v>0</v>
      </c>
      <c r="H39" s="28" t="n">
        <f aca="false">IF(H$3=Assumptions!$F$7,Assumptions!$F$36+Assumptions!$F$38,0)</f>
        <v>0</v>
      </c>
      <c r="I39" s="28" t="n">
        <f aca="false">IF(I$3=Assumptions!$F$7,Assumptions!$F$36+Assumptions!$F$38,0)</f>
        <v>0</v>
      </c>
      <c r="J39" s="28" t="n">
        <f aca="false">IF(J$3=Assumptions!$F$7,Assumptions!$F$36+Assumptions!$F$38,0)</f>
        <v>0</v>
      </c>
      <c r="K39" s="28" t="n">
        <f aca="false">IF(K$3=Assumptions!$F$7,Assumptions!$F$36+Assumptions!$F$38,0)</f>
        <v>0</v>
      </c>
      <c r="L39" s="28" t="n">
        <f aca="false">IF(L$3=Assumptions!$F$7,Assumptions!$F$36+Assumptions!$F$38,0)</f>
        <v>0</v>
      </c>
      <c r="M39" s="28" t="n">
        <f aca="false">IF(M$3=Assumptions!$F$7,Assumptions!$F$36+Assumptions!$F$38,0)</f>
        <v>0</v>
      </c>
      <c r="N39" s="28" t="n">
        <f aca="false">IF(N$3=Assumptions!$F$7,Assumptions!$F$36+Assumptions!$F$38,0)</f>
        <v>0</v>
      </c>
      <c r="O39" s="28" t="n">
        <f aca="false">IF(O$3=Assumptions!$F$7,Assumptions!$F$36+Assumptions!$F$38,0)</f>
        <v>0</v>
      </c>
      <c r="P39" s="28" t="n">
        <f aca="false">IF(P$3=Assumptions!$F$7,Assumptions!$F$36+Assumptions!$F$38,0)</f>
        <v>0</v>
      </c>
      <c r="Q39" s="28" t="n">
        <f aca="false">IF(Q$3=Assumptions!$F$7,Assumptions!$F$36+Assumptions!$F$38,0)</f>
        <v>0</v>
      </c>
      <c r="R39" s="28" t="n">
        <f aca="false">IF(R$3=Assumptions!$F$7,Assumptions!$F$36+Assumptions!$F$38,0)</f>
        <v>0</v>
      </c>
      <c r="S39" s="28" t="n">
        <f aca="false">IF(S$3=Assumptions!$F$7,Assumptions!$F$36+Assumptions!$F$38,0)</f>
        <v>0</v>
      </c>
      <c r="T39" s="28" t="n">
        <f aca="false">IF(T$3=Assumptions!$F$7,Assumptions!$F$36+Assumptions!$F$38,0)</f>
        <v>0</v>
      </c>
      <c r="U39" s="28" t="n">
        <f aca="false">IF(U$3=Assumptions!$F$7,Assumptions!$F$36+Assumptions!$F$38,0)</f>
        <v>0</v>
      </c>
      <c r="V39" s="28" t="n">
        <f aca="false">IF(V$3=Assumptions!$F$7,Assumptions!$F$36+Assumptions!$F$38,0)</f>
        <v>0</v>
      </c>
      <c r="W39" s="28" t="n">
        <f aca="false">IF(W$3=Assumptions!$F$7,Assumptions!$F$36+Assumptions!$F$38,0)</f>
        <v>0</v>
      </c>
      <c r="X39" s="28" t="n">
        <f aca="false">IF(X$3=Assumptions!$F$7,Assumptions!$F$36+Assumptions!$F$38,0)</f>
        <v>0</v>
      </c>
      <c r="Y39" s="28" t="n">
        <f aca="false">IF(Y$3=Assumptions!$F$7,Assumptions!$F$36+Assumptions!$F$38,0)</f>
        <v>0</v>
      </c>
      <c r="Z39" s="28" t="n">
        <f aca="false">IF(Z$3=Assumptions!$F$7,Assumptions!$F$36+Assumptions!$F$38,0)</f>
        <v>0</v>
      </c>
      <c r="AA39" s="28" t="n">
        <f aca="false">IF(AA$3=Assumptions!$F$7,Assumptions!$F$36+Assumptions!$F$38,0)</f>
        <v>0</v>
      </c>
      <c r="AB39" s="28" t="n">
        <f aca="false">IF(AB$3=Assumptions!$F$7,Assumptions!$F$36+Assumptions!$F$38,0)</f>
        <v>0</v>
      </c>
      <c r="AC39" s="28" t="n">
        <f aca="false">IF(AC$3=Assumptions!$F$7,Assumptions!$F$36+Assumptions!$F$38,0)</f>
        <v>0</v>
      </c>
      <c r="AD39" s="28" t="n">
        <f aca="false">IF(AD$3=Assumptions!$F$7,Assumptions!$F$36+Assumptions!$F$38,0)</f>
        <v>0</v>
      </c>
      <c r="AE39" s="28" t="n">
        <f aca="false">IF(AE$3=Assumptions!$F$7,Assumptions!$F$36+Assumptions!$F$38,0)</f>
        <v>0</v>
      </c>
      <c r="AF39" s="28" t="n">
        <f aca="false">IF(AF$3=Assumptions!$F$7,Assumptions!$F$36+Assumptions!$F$38,0)</f>
        <v>0</v>
      </c>
      <c r="AG39" s="28" t="n">
        <f aca="false">IF(AG$3=Assumptions!$F$7,Assumptions!$F$36+Assumptions!$F$38,0)</f>
        <v>0</v>
      </c>
      <c r="AH39" s="28" t="n">
        <f aca="false">IF(AH$3=Assumptions!$F$7,Assumptions!$F$36+Assumptions!$F$38,0)</f>
        <v>0</v>
      </c>
      <c r="AI39" s="28" t="n">
        <f aca="false">IF(AI$3=Assumptions!$F$7,Assumptions!$F$36+Assumptions!$F$38,0)</f>
        <v>0</v>
      </c>
      <c r="AJ39" s="28" t="n">
        <f aca="false">IF(AJ$3=Assumptions!$F$7,Assumptions!$F$36+Assumptions!$F$38,0)</f>
        <v>0</v>
      </c>
      <c r="AK39" s="28" t="n">
        <f aca="false">IF(AK$3=Assumptions!$F$7,Assumptions!$F$36+Assumptions!$F$38,0)</f>
        <v>0</v>
      </c>
      <c r="AL39" s="28" t="n">
        <f aca="false">IF(AL$3=Assumptions!$F$7,Assumptions!$F$36+Assumptions!$F$38,0)</f>
        <v>0</v>
      </c>
      <c r="AM39" s="28" t="n">
        <f aca="false">IF(AM$3=Assumptions!$F$7,Assumptions!$F$36+Assumptions!$F$38,0)</f>
        <v>0</v>
      </c>
      <c r="AN39" s="28" t="n">
        <f aca="false">IF(AN$3=Assumptions!$F$7,Assumptions!$F$36+Assumptions!$F$38,0)</f>
        <v>0</v>
      </c>
      <c r="AO39" s="28" t="n">
        <f aca="false">IF(AO$3=Assumptions!$F$7,Assumptions!$F$36+Assumptions!$F$38,0)</f>
        <v>0</v>
      </c>
      <c r="AP39" s="28" t="n">
        <f aca="false">IF(AP$3=Assumptions!$F$7,Assumptions!$F$36+Assumptions!$F$38,0)</f>
        <v>0</v>
      </c>
      <c r="AQ39" s="28" t="n">
        <f aca="false">IF(AQ$3=Assumptions!$F$7,Assumptions!$F$36+Assumptions!$F$38,0)</f>
        <v>0</v>
      </c>
      <c r="AR39" s="28" t="n">
        <f aca="false">IF(AR$3=Assumptions!$F$7,Assumptions!$F$36+Assumptions!$F$38,0)</f>
        <v>0</v>
      </c>
      <c r="AS39" s="28" t="n">
        <f aca="false">IF(AS$3=Assumptions!$F$7,Assumptions!$F$36+Assumptions!$F$38,0)</f>
        <v>0</v>
      </c>
      <c r="AT39" s="28" t="n">
        <f aca="false">IF(AT$3=Assumptions!$F$7,Assumptions!$F$36+Assumptions!$F$38,0)</f>
        <v>0</v>
      </c>
      <c r="AU39" s="28" t="n">
        <f aca="false">IF(AU$3=Assumptions!$F$7,Assumptions!$F$36+Assumptions!$F$38,0)</f>
        <v>0</v>
      </c>
      <c r="AV39" s="28" t="n">
        <f aca="false">IF(AV$3=Assumptions!$F$7,Assumptions!$F$36+Assumptions!$F$38,0)</f>
        <v>0</v>
      </c>
      <c r="AW39" s="28" t="n">
        <f aca="false">IF(AW$3=Assumptions!$F$7,Assumptions!$F$36+Assumptions!$F$38,0)</f>
        <v>0</v>
      </c>
      <c r="AX39" s="28" t="n">
        <f aca="false">IF(AX$3=Assumptions!$F$7,Assumptions!$F$36+Assumptions!$F$38,0)</f>
        <v>0</v>
      </c>
      <c r="AY39" s="28" t="n">
        <f aca="false">IF(AY$3=Assumptions!$F$7,Assumptions!$F$36+Assumptions!$F$38,0)</f>
        <v>0</v>
      </c>
      <c r="AZ39" s="28" t="n">
        <f aca="false">IF(AZ$3=Assumptions!$F$7,Assumptions!$F$36+Assumptions!$F$38,0)</f>
        <v>0</v>
      </c>
      <c r="BA39" s="28" t="n">
        <f aca="false">IF(BA$3=Assumptions!$F$7,Assumptions!$F$36+Assumptions!$F$38,0)</f>
        <v>0</v>
      </c>
      <c r="BB39" s="28" t="n">
        <f aca="false">IF(BB$3=Assumptions!$F$7,Assumptions!$F$36+Assumptions!$F$38,0)</f>
        <v>0</v>
      </c>
      <c r="BC39" s="28" t="n">
        <f aca="false">IF(BC$3=Assumptions!$F$7,Assumptions!$F$36+Assumptions!$F$38,0)</f>
        <v>0</v>
      </c>
      <c r="BD39" s="28" t="n">
        <f aca="false">IF(BD$3=Assumptions!$F$7,Assumptions!$F$36+Assumptions!$F$38,0)</f>
        <v>0</v>
      </c>
      <c r="BE39" s="28" t="n">
        <f aca="false">IF(BE$3=Assumptions!$F$7,Assumptions!$F$36+Assumptions!$F$38,0)</f>
        <v>0</v>
      </c>
      <c r="BF39" s="28" t="n">
        <f aca="false">IF(BF$3=Assumptions!$F$7,Assumptions!$F$36+Assumptions!$F$38,0)</f>
        <v>0</v>
      </c>
      <c r="BG39" s="28" t="n">
        <f aca="false">IF(BG$3=Assumptions!$F$7,Assumptions!$F$36+Assumptions!$F$38,0)</f>
        <v>0</v>
      </c>
      <c r="BH39" s="28" t="n">
        <f aca="false">IF(BH$3=Assumptions!$F$7,Assumptions!$F$36+Assumptions!$F$38,0)</f>
        <v>0</v>
      </c>
      <c r="BI39" s="28" t="n">
        <f aca="false">IF(BI$3=Assumptions!$F$7,Assumptions!$F$36+Assumptions!$F$38,0)</f>
        <v>0</v>
      </c>
      <c r="BJ39" s="28" t="n">
        <f aca="false">IF(BJ$3=Assumptions!$F$7,Assumptions!$F$36+Assumptions!$F$38,0)</f>
        <v>0</v>
      </c>
    </row>
    <row r="40" customFormat="false" ht="15" hidden="false" customHeight="false" outlineLevel="0" collapsed="false">
      <c r="A40" s="4" t="s">
        <v>179</v>
      </c>
      <c r="B40" s="4"/>
      <c r="C40" s="28" t="n">
        <f aca="false">IF(C$3&gt;Assumptions!$F$7,Assumptions!$F$36/(Assumptions!$F$40*12)+IF(C$3&lt;=Assumptions!$F$7+Assumptions!$F$41*12,Assumptions!$F$37/(Assumptions!$F$41*12),0),0)</f>
        <v>0</v>
      </c>
      <c r="D40" s="28" t="n">
        <f aca="false">IF(D$3&gt;Assumptions!$F$7,Assumptions!$F$36/(Assumptions!$F$40*12)+IF(D$3&lt;=Assumptions!$F$7+Assumptions!$F$41*12,Assumptions!$F$37/(Assumptions!$F$41*12),0),0)</f>
        <v>0</v>
      </c>
      <c r="E40" s="28" t="n">
        <f aca="false">IF(E$3&gt;Assumptions!$F$7,Assumptions!$F$36/(Assumptions!$F$40*12)+IF(E$3&lt;=Assumptions!$F$7+Assumptions!$F$41*12,Assumptions!$F$37/(Assumptions!$F$41*12),0),0)</f>
        <v>0</v>
      </c>
      <c r="F40" s="28" t="n">
        <f aca="false">IF(F$3&gt;Assumptions!$F$7,Assumptions!$F$36/(Assumptions!$F$40*12)+IF(F$3&lt;=Assumptions!$F$7+Assumptions!$F$41*12,Assumptions!$F$37/(Assumptions!$F$41*12),0),0)</f>
        <v>2833.33333333333</v>
      </c>
      <c r="G40" s="28" t="n">
        <f aca="false">IF(G$3&gt;Assumptions!$F$7,Assumptions!$F$36/(Assumptions!$F$40*12)+IF(G$3&lt;=Assumptions!$F$7+Assumptions!$F$41*12,Assumptions!$F$37/(Assumptions!$F$41*12),0),0)</f>
        <v>2833.33333333333</v>
      </c>
      <c r="H40" s="28" t="n">
        <f aca="false">IF(H$3&gt;Assumptions!$F$7,Assumptions!$F$36/(Assumptions!$F$40*12)+IF(H$3&lt;=Assumptions!$F$7+Assumptions!$F$41*12,Assumptions!$F$37/(Assumptions!$F$41*12),0),0)</f>
        <v>2833.33333333333</v>
      </c>
      <c r="I40" s="28" t="n">
        <f aca="false">IF(I$3&gt;Assumptions!$F$7,Assumptions!$F$36/(Assumptions!$F$40*12)+IF(I$3&lt;=Assumptions!$F$7+Assumptions!$F$41*12,Assumptions!$F$37/(Assumptions!$F$41*12),0),0)</f>
        <v>2833.33333333333</v>
      </c>
      <c r="J40" s="28" t="n">
        <f aca="false">IF(J$3&gt;Assumptions!$F$7,Assumptions!$F$36/(Assumptions!$F$40*12)+IF(J$3&lt;=Assumptions!$F$7+Assumptions!$F$41*12,Assumptions!$F$37/(Assumptions!$F$41*12),0),0)</f>
        <v>2833.33333333333</v>
      </c>
      <c r="K40" s="28" t="n">
        <f aca="false">IF(K$3&gt;Assumptions!$F$7,Assumptions!$F$36/(Assumptions!$F$40*12)+IF(K$3&lt;=Assumptions!$F$7+Assumptions!$F$41*12,Assumptions!$F$37/(Assumptions!$F$41*12),0),0)</f>
        <v>2833.33333333333</v>
      </c>
      <c r="L40" s="28" t="n">
        <f aca="false">IF(L$3&gt;Assumptions!$F$7,Assumptions!$F$36/(Assumptions!$F$40*12)+IF(L$3&lt;=Assumptions!$F$7+Assumptions!$F$41*12,Assumptions!$F$37/(Assumptions!$F$41*12),0),0)</f>
        <v>2833.33333333333</v>
      </c>
      <c r="M40" s="28" t="n">
        <f aca="false">IF(M$3&gt;Assumptions!$F$7,Assumptions!$F$36/(Assumptions!$F$40*12)+IF(M$3&lt;=Assumptions!$F$7+Assumptions!$F$41*12,Assumptions!$F$37/(Assumptions!$F$41*12),0),0)</f>
        <v>2833.33333333333</v>
      </c>
      <c r="N40" s="28" t="n">
        <f aca="false">IF(N$3&gt;Assumptions!$F$7,Assumptions!$F$36/(Assumptions!$F$40*12)+IF(N$3&lt;=Assumptions!$F$7+Assumptions!$F$41*12,Assumptions!$F$37/(Assumptions!$F$41*12),0),0)</f>
        <v>2833.33333333333</v>
      </c>
      <c r="O40" s="28" t="n">
        <f aca="false">IF(O$3&gt;Assumptions!$F$7,Assumptions!$F$36/(Assumptions!$F$40*12)+IF(O$3&lt;=Assumptions!$F$7+Assumptions!$F$41*12,Assumptions!$F$37/(Assumptions!$F$41*12),0),0)</f>
        <v>2833.33333333333</v>
      </c>
      <c r="P40" s="28" t="n">
        <f aca="false">IF(P$3&gt;Assumptions!$F$7,Assumptions!$F$36/(Assumptions!$F$40*12)+IF(P$3&lt;=Assumptions!$F$7+Assumptions!$F$41*12,Assumptions!$F$37/(Assumptions!$F$41*12),0),0)</f>
        <v>2833.33333333333</v>
      </c>
      <c r="Q40" s="28" t="n">
        <f aca="false">IF(Q$3&gt;Assumptions!$F$7,Assumptions!$F$36/(Assumptions!$F$40*12)+IF(Q$3&lt;=Assumptions!$F$7+Assumptions!$F$41*12,Assumptions!$F$37/(Assumptions!$F$41*12),0),0)</f>
        <v>2833.33333333333</v>
      </c>
      <c r="R40" s="28" t="n">
        <f aca="false">IF(R$3&gt;Assumptions!$F$7,Assumptions!$F$36/(Assumptions!$F$40*12)+IF(R$3&lt;=Assumptions!$F$7+Assumptions!$F$41*12,Assumptions!$F$37/(Assumptions!$F$41*12),0),0)</f>
        <v>2833.33333333333</v>
      </c>
      <c r="S40" s="28" t="n">
        <f aca="false">IF(S$3&gt;Assumptions!$F$7,Assumptions!$F$36/(Assumptions!$F$40*12)+IF(S$3&lt;=Assumptions!$F$7+Assumptions!$F$41*12,Assumptions!$F$37/(Assumptions!$F$41*12),0),0)</f>
        <v>2833.33333333333</v>
      </c>
      <c r="T40" s="28" t="n">
        <f aca="false">IF(T$3&gt;Assumptions!$F$7,Assumptions!$F$36/(Assumptions!$F$40*12)+IF(T$3&lt;=Assumptions!$F$7+Assumptions!$F$41*12,Assumptions!$F$37/(Assumptions!$F$41*12),0),0)</f>
        <v>2833.33333333333</v>
      </c>
      <c r="U40" s="28" t="n">
        <f aca="false">IF(U$3&gt;Assumptions!$F$7,Assumptions!$F$36/(Assumptions!$F$40*12)+IF(U$3&lt;=Assumptions!$F$7+Assumptions!$F$41*12,Assumptions!$F$37/(Assumptions!$F$41*12),0),0)</f>
        <v>2833.33333333333</v>
      </c>
      <c r="V40" s="28" t="n">
        <f aca="false">IF(V$3&gt;Assumptions!$F$7,Assumptions!$F$36/(Assumptions!$F$40*12)+IF(V$3&lt;=Assumptions!$F$7+Assumptions!$F$41*12,Assumptions!$F$37/(Assumptions!$F$41*12),0),0)</f>
        <v>2833.33333333333</v>
      </c>
      <c r="W40" s="28" t="n">
        <f aca="false">IF(W$3&gt;Assumptions!$F$7,Assumptions!$F$36/(Assumptions!$F$40*12)+IF(W$3&lt;=Assumptions!$F$7+Assumptions!$F$41*12,Assumptions!$F$37/(Assumptions!$F$41*12),0),0)</f>
        <v>2833.33333333333</v>
      </c>
      <c r="X40" s="28" t="n">
        <f aca="false">IF(X$3&gt;Assumptions!$F$7,Assumptions!$F$36/(Assumptions!$F$40*12)+IF(X$3&lt;=Assumptions!$F$7+Assumptions!$F$41*12,Assumptions!$F$37/(Assumptions!$F$41*12),0),0)</f>
        <v>2833.33333333333</v>
      </c>
      <c r="Y40" s="28" t="n">
        <f aca="false">IF(Y$3&gt;Assumptions!$F$7,Assumptions!$F$36/(Assumptions!$F$40*12)+IF(Y$3&lt;=Assumptions!$F$7+Assumptions!$F$41*12,Assumptions!$F$37/(Assumptions!$F$41*12),0),0)</f>
        <v>2833.33333333333</v>
      </c>
      <c r="Z40" s="28" t="n">
        <f aca="false">IF(Z$3&gt;Assumptions!$F$7,Assumptions!$F$36/(Assumptions!$F$40*12)+IF(Z$3&lt;=Assumptions!$F$7+Assumptions!$F$41*12,Assumptions!$F$37/(Assumptions!$F$41*12),0),0)</f>
        <v>2833.33333333333</v>
      </c>
      <c r="AA40" s="28" t="n">
        <f aca="false">IF(AA$3&gt;Assumptions!$F$7,Assumptions!$F$36/(Assumptions!$F$40*12)+IF(AA$3&lt;=Assumptions!$F$7+Assumptions!$F$41*12,Assumptions!$F$37/(Assumptions!$F$41*12),0),0)</f>
        <v>2833.33333333333</v>
      </c>
      <c r="AB40" s="28" t="n">
        <f aca="false">IF(AB$3&gt;Assumptions!$F$7,Assumptions!$F$36/(Assumptions!$F$40*12)+IF(AB$3&lt;=Assumptions!$F$7+Assumptions!$F$41*12,Assumptions!$F$37/(Assumptions!$F$41*12),0),0)</f>
        <v>2833.33333333333</v>
      </c>
      <c r="AC40" s="28" t="n">
        <f aca="false">IF(AC$3&gt;Assumptions!$F$7,Assumptions!$F$36/(Assumptions!$F$40*12)+IF(AC$3&lt;=Assumptions!$F$7+Assumptions!$F$41*12,Assumptions!$F$37/(Assumptions!$F$41*12),0),0)</f>
        <v>2833.33333333333</v>
      </c>
      <c r="AD40" s="28" t="n">
        <f aca="false">IF(AD$3&gt;Assumptions!$F$7,Assumptions!$F$36/(Assumptions!$F$40*12)+IF(AD$3&lt;=Assumptions!$F$7+Assumptions!$F$41*12,Assumptions!$F$37/(Assumptions!$F$41*12),0),0)</f>
        <v>2833.33333333333</v>
      </c>
      <c r="AE40" s="28" t="n">
        <f aca="false">IF(AE$3&gt;Assumptions!$F$7,Assumptions!$F$36/(Assumptions!$F$40*12)+IF(AE$3&lt;=Assumptions!$F$7+Assumptions!$F$41*12,Assumptions!$F$37/(Assumptions!$F$41*12),0),0)</f>
        <v>2833.33333333333</v>
      </c>
      <c r="AF40" s="28" t="n">
        <f aca="false">IF(AF$3&gt;Assumptions!$F$7,Assumptions!$F$36/(Assumptions!$F$40*12)+IF(AF$3&lt;=Assumptions!$F$7+Assumptions!$F$41*12,Assumptions!$F$37/(Assumptions!$F$41*12),0),0)</f>
        <v>2833.33333333333</v>
      </c>
      <c r="AG40" s="28" t="n">
        <f aca="false">IF(AG$3&gt;Assumptions!$F$7,Assumptions!$F$36/(Assumptions!$F$40*12)+IF(AG$3&lt;=Assumptions!$F$7+Assumptions!$F$41*12,Assumptions!$F$37/(Assumptions!$F$41*12),0),0)</f>
        <v>2833.33333333333</v>
      </c>
      <c r="AH40" s="28" t="n">
        <f aca="false">IF(AH$3&gt;Assumptions!$F$7,Assumptions!$F$36/(Assumptions!$F$40*12)+IF(AH$3&lt;=Assumptions!$F$7+Assumptions!$F$41*12,Assumptions!$F$37/(Assumptions!$F$41*12),0),0)</f>
        <v>2833.33333333333</v>
      </c>
      <c r="AI40" s="28" t="n">
        <f aca="false">IF(AI$3&gt;Assumptions!$F$7,Assumptions!$F$36/(Assumptions!$F$40*12)+IF(AI$3&lt;=Assumptions!$F$7+Assumptions!$F$41*12,Assumptions!$F$37/(Assumptions!$F$41*12),0),0)</f>
        <v>2833.33333333333</v>
      </c>
      <c r="AJ40" s="28" t="n">
        <f aca="false">IF(AJ$3&gt;Assumptions!$F$7,Assumptions!$F$36/(Assumptions!$F$40*12)+IF(AJ$3&lt;=Assumptions!$F$7+Assumptions!$F$41*12,Assumptions!$F$37/(Assumptions!$F$41*12),0),0)</f>
        <v>2833.33333333333</v>
      </c>
      <c r="AK40" s="28" t="n">
        <f aca="false">IF(AK$3&gt;Assumptions!$F$7,Assumptions!$F$36/(Assumptions!$F$40*12)+IF(AK$3&lt;=Assumptions!$F$7+Assumptions!$F$41*12,Assumptions!$F$37/(Assumptions!$F$41*12),0),0)</f>
        <v>2833.33333333333</v>
      </c>
      <c r="AL40" s="28" t="n">
        <f aca="false">IF(AL$3&gt;Assumptions!$F$7,Assumptions!$F$36/(Assumptions!$F$40*12)+IF(AL$3&lt;=Assumptions!$F$7+Assumptions!$F$41*12,Assumptions!$F$37/(Assumptions!$F$41*12),0),0)</f>
        <v>2833.33333333333</v>
      </c>
      <c r="AM40" s="28" t="n">
        <f aca="false">IF(AM$3&gt;Assumptions!$F$7,Assumptions!$F$36/(Assumptions!$F$40*12)+IF(AM$3&lt;=Assumptions!$F$7+Assumptions!$F$41*12,Assumptions!$F$37/(Assumptions!$F$41*12),0),0)</f>
        <v>2833.33333333333</v>
      </c>
      <c r="AN40" s="28" t="n">
        <f aca="false">IF(AN$3&gt;Assumptions!$F$7,Assumptions!$F$36/(Assumptions!$F$40*12)+IF(AN$3&lt;=Assumptions!$F$7+Assumptions!$F$41*12,Assumptions!$F$37/(Assumptions!$F$41*12),0),0)</f>
        <v>2833.33333333333</v>
      </c>
      <c r="AO40" s="28" t="n">
        <f aca="false">IF(AO$3&gt;Assumptions!$F$7,Assumptions!$F$36/(Assumptions!$F$40*12)+IF(AO$3&lt;=Assumptions!$F$7+Assumptions!$F$41*12,Assumptions!$F$37/(Assumptions!$F$41*12),0),0)</f>
        <v>2833.33333333333</v>
      </c>
      <c r="AP40" s="28" t="n">
        <f aca="false">IF(AP$3&gt;Assumptions!$F$7,Assumptions!$F$36/(Assumptions!$F$40*12)+IF(AP$3&lt;=Assumptions!$F$7+Assumptions!$F$41*12,Assumptions!$F$37/(Assumptions!$F$41*12),0),0)</f>
        <v>2833.33333333333</v>
      </c>
      <c r="AQ40" s="28" t="n">
        <f aca="false">IF(AQ$3&gt;Assumptions!$F$7,Assumptions!$F$36/(Assumptions!$F$40*12)+IF(AQ$3&lt;=Assumptions!$F$7+Assumptions!$F$41*12,Assumptions!$F$37/(Assumptions!$F$41*12),0),0)</f>
        <v>2833.33333333333</v>
      </c>
      <c r="AR40" s="28" t="n">
        <f aca="false">IF(AR$3&gt;Assumptions!$F$7,Assumptions!$F$36/(Assumptions!$F$40*12)+IF(AR$3&lt;=Assumptions!$F$7+Assumptions!$F$41*12,Assumptions!$F$37/(Assumptions!$F$41*12),0),0)</f>
        <v>2833.33333333333</v>
      </c>
      <c r="AS40" s="28" t="n">
        <f aca="false">IF(AS$3&gt;Assumptions!$F$7,Assumptions!$F$36/(Assumptions!$F$40*12)+IF(AS$3&lt;=Assumptions!$F$7+Assumptions!$F$41*12,Assumptions!$F$37/(Assumptions!$F$41*12),0),0)</f>
        <v>2833.33333333333</v>
      </c>
      <c r="AT40" s="28" t="n">
        <f aca="false">IF(AT$3&gt;Assumptions!$F$7,Assumptions!$F$36/(Assumptions!$F$40*12)+IF(AT$3&lt;=Assumptions!$F$7+Assumptions!$F$41*12,Assumptions!$F$37/(Assumptions!$F$41*12),0),0)</f>
        <v>2833.33333333333</v>
      </c>
      <c r="AU40" s="28" t="n">
        <f aca="false">IF(AU$3&gt;Assumptions!$F$7,Assumptions!$F$36/(Assumptions!$F$40*12)+IF(AU$3&lt;=Assumptions!$F$7+Assumptions!$F$41*12,Assumptions!$F$37/(Assumptions!$F$41*12),0),0)</f>
        <v>2833.33333333333</v>
      </c>
      <c r="AV40" s="28" t="n">
        <f aca="false">IF(AV$3&gt;Assumptions!$F$7,Assumptions!$F$36/(Assumptions!$F$40*12)+IF(AV$3&lt;=Assumptions!$F$7+Assumptions!$F$41*12,Assumptions!$F$37/(Assumptions!$F$41*12),0),0)</f>
        <v>2833.33333333333</v>
      </c>
      <c r="AW40" s="28" t="n">
        <f aca="false">IF(AW$3&gt;Assumptions!$F$7,Assumptions!$F$36/(Assumptions!$F$40*12)+IF(AW$3&lt;=Assumptions!$F$7+Assumptions!$F$41*12,Assumptions!$F$37/(Assumptions!$F$41*12),0),0)</f>
        <v>2833.33333333333</v>
      </c>
      <c r="AX40" s="28" t="n">
        <f aca="false">IF(AX$3&gt;Assumptions!$F$7,Assumptions!$F$36/(Assumptions!$F$40*12)+IF(AX$3&lt;=Assumptions!$F$7+Assumptions!$F$41*12,Assumptions!$F$37/(Assumptions!$F$41*12),0),0)</f>
        <v>2833.33333333333</v>
      </c>
      <c r="AY40" s="28" t="n">
        <f aca="false">IF(AY$3&gt;Assumptions!$F$7,Assumptions!$F$36/(Assumptions!$F$40*12)+IF(AY$3&lt;=Assumptions!$F$7+Assumptions!$F$41*12,Assumptions!$F$37/(Assumptions!$F$41*12),0),0)</f>
        <v>2833.33333333333</v>
      </c>
      <c r="AZ40" s="28" t="n">
        <f aca="false">IF(AZ$3&gt;Assumptions!$F$7,Assumptions!$F$36/(Assumptions!$F$40*12)+IF(AZ$3&lt;=Assumptions!$F$7+Assumptions!$F$41*12,Assumptions!$F$37/(Assumptions!$F$41*12),0),0)</f>
        <v>2833.33333333333</v>
      </c>
      <c r="BA40" s="28" t="n">
        <f aca="false">IF(BA$3&gt;Assumptions!$F$7,Assumptions!$F$36/(Assumptions!$F$40*12)+IF(BA$3&lt;=Assumptions!$F$7+Assumptions!$F$41*12,Assumptions!$F$37/(Assumptions!$F$41*12),0),0)</f>
        <v>2833.33333333333</v>
      </c>
      <c r="BB40" s="28" t="n">
        <f aca="false">IF(BB$3&gt;Assumptions!$F$7,Assumptions!$F$36/(Assumptions!$F$40*12)+IF(BB$3&lt;=Assumptions!$F$7+Assumptions!$F$41*12,Assumptions!$F$37/(Assumptions!$F$41*12),0),0)</f>
        <v>2833.33333333333</v>
      </c>
      <c r="BC40" s="28" t="n">
        <f aca="false">IF(BC$3&gt;Assumptions!$F$7,Assumptions!$F$36/(Assumptions!$F$40*12)+IF(BC$3&lt;=Assumptions!$F$7+Assumptions!$F$41*12,Assumptions!$F$37/(Assumptions!$F$41*12),0),0)</f>
        <v>2833.33333333333</v>
      </c>
      <c r="BD40" s="28" t="n">
        <f aca="false">IF(BD$3&gt;Assumptions!$F$7,Assumptions!$F$36/(Assumptions!$F$40*12)+IF(BD$3&lt;=Assumptions!$F$7+Assumptions!$F$41*12,Assumptions!$F$37/(Assumptions!$F$41*12),0),0)</f>
        <v>2833.33333333333</v>
      </c>
      <c r="BE40" s="28" t="n">
        <f aca="false">IF(BE$3&gt;Assumptions!$F$7,Assumptions!$F$36/(Assumptions!$F$40*12)+IF(BE$3&lt;=Assumptions!$F$7+Assumptions!$F$41*12,Assumptions!$F$37/(Assumptions!$F$41*12),0),0)</f>
        <v>2833.33333333333</v>
      </c>
      <c r="BF40" s="28" t="n">
        <f aca="false">IF(BF$3&gt;Assumptions!$F$7,Assumptions!$F$36/(Assumptions!$F$40*12)+IF(BF$3&lt;=Assumptions!$F$7+Assumptions!$F$41*12,Assumptions!$F$37/(Assumptions!$F$41*12),0),0)</f>
        <v>2833.33333333333</v>
      </c>
      <c r="BG40" s="28" t="n">
        <f aca="false">IF(BG$3&gt;Assumptions!$F$7,Assumptions!$F$36/(Assumptions!$F$40*12)+IF(BG$3&lt;=Assumptions!$F$7+Assumptions!$F$41*12,Assumptions!$F$37/(Assumptions!$F$41*12),0),0)</f>
        <v>2833.33333333333</v>
      </c>
      <c r="BH40" s="28" t="n">
        <f aca="false">IF(BH$3&gt;Assumptions!$F$7,Assumptions!$F$36/(Assumptions!$F$40*12)+IF(BH$3&lt;=Assumptions!$F$7+Assumptions!$F$41*12,Assumptions!$F$37/(Assumptions!$F$41*12),0),0)</f>
        <v>2833.33333333333</v>
      </c>
      <c r="BI40" s="28" t="n">
        <f aca="false">IF(BI$3&gt;Assumptions!$F$7,Assumptions!$F$36/(Assumptions!$F$40*12)+IF(BI$3&lt;=Assumptions!$F$7+Assumptions!$F$41*12,Assumptions!$F$37/(Assumptions!$F$41*12),0),0)</f>
        <v>2833.33333333333</v>
      </c>
      <c r="BJ40" s="28" t="n">
        <f aca="false">IF(BJ$3&gt;Assumptions!$F$7,Assumptions!$F$36/(Assumptions!$F$40*12)+IF(BJ$3&lt;=Assumptions!$F$7+Assumptions!$F$41*12,Assumptions!$F$37/(Assumptions!$F$41*12),0),0)</f>
        <v>2833.33333333333</v>
      </c>
    </row>
    <row r="41" customFormat="false" ht="15" hidden="false" customHeight="false" outlineLevel="0" collapsed="false">
      <c r="A41" s="15" t="s">
        <v>180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</row>
    <row r="42" customFormat="false" ht="15" hidden="false" customHeight="false" outlineLevel="0" collapsed="false">
      <c r="A42" s="4" t="s">
        <v>181</v>
      </c>
      <c r="B42" s="4"/>
      <c r="C42" s="28" t="n">
        <f aca="false">IF(C$3=Assumptions!$F$45,Assumptions!$F$46,0)</f>
        <v>0</v>
      </c>
      <c r="D42" s="28" t="n">
        <f aca="false">IF(D$3=Assumptions!$F$45,Assumptions!$F$46,0)</f>
        <v>0</v>
      </c>
      <c r="E42" s="28" t="n">
        <f aca="false">IF(E$3=Assumptions!$F$45,Assumptions!$F$46,0)</f>
        <v>100000</v>
      </c>
      <c r="F42" s="28" t="n">
        <f aca="false">IF(F$3=Assumptions!$F$45,Assumptions!$F$46,0)</f>
        <v>0</v>
      </c>
      <c r="G42" s="28" t="n">
        <f aca="false">IF(G$3=Assumptions!$F$45,Assumptions!$F$46,0)</f>
        <v>0</v>
      </c>
      <c r="H42" s="28" t="n">
        <f aca="false">IF(H$3=Assumptions!$F$45,Assumptions!$F$46,0)</f>
        <v>0</v>
      </c>
      <c r="I42" s="28" t="n">
        <f aca="false">IF(I$3=Assumptions!$F$45,Assumptions!$F$46,0)</f>
        <v>0</v>
      </c>
      <c r="J42" s="28" t="n">
        <f aca="false">IF(J$3=Assumptions!$F$45,Assumptions!$F$46,0)</f>
        <v>0</v>
      </c>
      <c r="K42" s="28" t="n">
        <f aca="false">IF(K$3=Assumptions!$F$45,Assumptions!$F$46,0)</f>
        <v>0</v>
      </c>
      <c r="L42" s="28" t="n">
        <f aca="false">IF(L$3=Assumptions!$F$45,Assumptions!$F$46,0)</f>
        <v>0</v>
      </c>
      <c r="M42" s="28" t="n">
        <f aca="false">IF(M$3=Assumptions!$F$45,Assumptions!$F$46,0)</f>
        <v>0</v>
      </c>
      <c r="N42" s="28" t="n">
        <f aca="false">IF(N$3=Assumptions!$F$45,Assumptions!$F$46,0)</f>
        <v>0</v>
      </c>
      <c r="O42" s="28" t="n">
        <f aca="false">IF(O$3=Assumptions!$F$45,Assumptions!$F$46,0)</f>
        <v>0</v>
      </c>
      <c r="P42" s="28" t="n">
        <f aca="false">IF(P$3=Assumptions!$F$45,Assumptions!$F$46,0)</f>
        <v>0</v>
      </c>
      <c r="Q42" s="28" t="n">
        <f aca="false">IF(Q$3=Assumptions!$F$45,Assumptions!$F$46,0)</f>
        <v>0</v>
      </c>
      <c r="R42" s="28" t="n">
        <f aca="false">IF(R$3=Assumptions!$F$45,Assumptions!$F$46,0)</f>
        <v>0</v>
      </c>
      <c r="S42" s="28" t="n">
        <f aca="false">IF(S$3=Assumptions!$F$45,Assumptions!$F$46,0)</f>
        <v>0</v>
      </c>
      <c r="T42" s="28" t="n">
        <f aca="false">IF(T$3=Assumptions!$F$45,Assumptions!$F$46,0)</f>
        <v>0</v>
      </c>
      <c r="U42" s="28" t="n">
        <f aca="false">IF(U$3=Assumptions!$F$45,Assumptions!$F$46,0)</f>
        <v>0</v>
      </c>
      <c r="V42" s="28" t="n">
        <f aca="false">IF(V$3=Assumptions!$F$45,Assumptions!$F$46,0)</f>
        <v>0</v>
      </c>
      <c r="W42" s="28" t="n">
        <f aca="false">IF(W$3=Assumptions!$F$45,Assumptions!$F$46,0)</f>
        <v>0</v>
      </c>
      <c r="X42" s="28" t="n">
        <f aca="false">IF(X$3=Assumptions!$F$45,Assumptions!$F$46,0)</f>
        <v>0</v>
      </c>
      <c r="Y42" s="28" t="n">
        <f aca="false">IF(Y$3=Assumptions!$F$45,Assumptions!$F$46,0)</f>
        <v>0</v>
      </c>
      <c r="Z42" s="28" t="n">
        <f aca="false">IF(Z$3=Assumptions!$F$45,Assumptions!$F$46,0)</f>
        <v>0</v>
      </c>
      <c r="AA42" s="28" t="n">
        <f aca="false">IF(AA$3=Assumptions!$F$45,Assumptions!$F$46,0)</f>
        <v>0</v>
      </c>
      <c r="AB42" s="28" t="n">
        <f aca="false">IF(AB$3=Assumptions!$F$45,Assumptions!$F$46,0)</f>
        <v>0</v>
      </c>
      <c r="AC42" s="28" t="n">
        <f aca="false">IF(AC$3=Assumptions!$F$45,Assumptions!$F$46,0)</f>
        <v>0</v>
      </c>
      <c r="AD42" s="28" t="n">
        <f aca="false">IF(AD$3=Assumptions!$F$45,Assumptions!$F$46,0)</f>
        <v>0</v>
      </c>
      <c r="AE42" s="28" t="n">
        <f aca="false">IF(AE$3=Assumptions!$F$45,Assumptions!$F$46,0)</f>
        <v>0</v>
      </c>
      <c r="AF42" s="28" t="n">
        <f aca="false">IF(AF$3=Assumptions!$F$45,Assumptions!$F$46,0)</f>
        <v>0</v>
      </c>
      <c r="AG42" s="28" t="n">
        <f aca="false">IF(AG$3=Assumptions!$F$45,Assumptions!$F$46,0)</f>
        <v>0</v>
      </c>
      <c r="AH42" s="28" t="n">
        <f aca="false">IF(AH$3=Assumptions!$F$45,Assumptions!$F$46,0)</f>
        <v>0</v>
      </c>
      <c r="AI42" s="28" t="n">
        <f aca="false">IF(AI$3=Assumptions!$F$45,Assumptions!$F$46,0)</f>
        <v>0</v>
      </c>
      <c r="AJ42" s="28" t="n">
        <f aca="false">IF(AJ$3=Assumptions!$F$45,Assumptions!$F$46,0)</f>
        <v>0</v>
      </c>
      <c r="AK42" s="28" t="n">
        <f aca="false">IF(AK$3=Assumptions!$F$45,Assumptions!$F$46,0)</f>
        <v>0</v>
      </c>
      <c r="AL42" s="28" t="n">
        <f aca="false">IF(AL$3=Assumptions!$F$45,Assumptions!$F$46,0)</f>
        <v>0</v>
      </c>
      <c r="AM42" s="28" t="n">
        <f aca="false">IF(AM$3=Assumptions!$F$45,Assumptions!$F$46,0)</f>
        <v>0</v>
      </c>
      <c r="AN42" s="28" t="n">
        <f aca="false">IF(AN$3=Assumptions!$F$45,Assumptions!$F$46,0)</f>
        <v>0</v>
      </c>
      <c r="AO42" s="28" t="n">
        <f aca="false">IF(AO$3=Assumptions!$F$45,Assumptions!$F$46,0)</f>
        <v>0</v>
      </c>
      <c r="AP42" s="28" t="n">
        <f aca="false">IF(AP$3=Assumptions!$F$45,Assumptions!$F$46,0)</f>
        <v>0</v>
      </c>
      <c r="AQ42" s="28" t="n">
        <f aca="false">IF(AQ$3=Assumptions!$F$45,Assumptions!$F$46,0)</f>
        <v>0</v>
      </c>
      <c r="AR42" s="28" t="n">
        <f aca="false">IF(AR$3=Assumptions!$F$45,Assumptions!$F$46,0)</f>
        <v>0</v>
      </c>
      <c r="AS42" s="28" t="n">
        <f aca="false">IF(AS$3=Assumptions!$F$45,Assumptions!$F$46,0)</f>
        <v>0</v>
      </c>
      <c r="AT42" s="28" t="n">
        <f aca="false">IF(AT$3=Assumptions!$F$45,Assumptions!$F$46,0)</f>
        <v>0</v>
      </c>
      <c r="AU42" s="28" t="n">
        <f aca="false">IF(AU$3=Assumptions!$F$45,Assumptions!$F$46,0)</f>
        <v>0</v>
      </c>
      <c r="AV42" s="28" t="n">
        <f aca="false">IF(AV$3=Assumptions!$F$45,Assumptions!$F$46,0)</f>
        <v>0</v>
      </c>
      <c r="AW42" s="28" t="n">
        <f aca="false">IF(AW$3=Assumptions!$F$45,Assumptions!$F$46,0)</f>
        <v>0</v>
      </c>
      <c r="AX42" s="28" t="n">
        <f aca="false">IF(AX$3=Assumptions!$F$45,Assumptions!$F$46,0)</f>
        <v>0</v>
      </c>
      <c r="AY42" s="28" t="n">
        <f aca="false">IF(AY$3=Assumptions!$F$45,Assumptions!$F$46,0)</f>
        <v>0</v>
      </c>
      <c r="AZ42" s="28" t="n">
        <f aca="false">IF(AZ$3=Assumptions!$F$45,Assumptions!$F$46,0)</f>
        <v>0</v>
      </c>
      <c r="BA42" s="28" t="n">
        <f aca="false">IF(BA$3=Assumptions!$F$45,Assumptions!$F$46,0)</f>
        <v>0</v>
      </c>
      <c r="BB42" s="28" t="n">
        <f aca="false">IF(BB$3=Assumptions!$F$45,Assumptions!$F$46,0)</f>
        <v>0</v>
      </c>
      <c r="BC42" s="28" t="n">
        <f aca="false">IF(BC$3=Assumptions!$F$45,Assumptions!$F$46,0)</f>
        <v>0</v>
      </c>
      <c r="BD42" s="28" t="n">
        <f aca="false">IF(BD$3=Assumptions!$F$45,Assumptions!$F$46,0)</f>
        <v>0</v>
      </c>
      <c r="BE42" s="28" t="n">
        <f aca="false">IF(BE$3=Assumptions!$F$45,Assumptions!$F$46,0)</f>
        <v>0</v>
      </c>
      <c r="BF42" s="28" t="n">
        <f aca="false">IF(BF$3=Assumptions!$F$45,Assumptions!$F$46,0)</f>
        <v>0</v>
      </c>
      <c r="BG42" s="28" t="n">
        <f aca="false">IF(BG$3=Assumptions!$F$45,Assumptions!$F$46,0)</f>
        <v>0</v>
      </c>
      <c r="BH42" s="28" t="n">
        <f aca="false">IF(BH$3=Assumptions!$F$45,Assumptions!$F$46,0)</f>
        <v>0</v>
      </c>
      <c r="BI42" s="28" t="n">
        <f aca="false">IF(BI$3=Assumptions!$F$45,Assumptions!$F$46,0)</f>
        <v>0</v>
      </c>
      <c r="BJ42" s="28" t="n">
        <f aca="false">IF(BJ$3=Assumptions!$F$45,Assumptions!$F$46,0)</f>
        <v>0</v>
      </c>
    </row>
    <row r="43" customFormat="false" ht="15" hidden="false" customHeight="false" outlineLevel="0" collapsed="false">
      <c r="A43" s="4" t="s">
        <v>182</v>
      </c>
      <c r="B43" s="4"/>
      <c r="C43" s="28" t="n">
        <f aca="false">0</f>
        <v>0</v>
      </c>
      <c r="D43" s="28" t="n">
        <f aca="false">C46</f>
        <v>0</v>
      </c>
      <c r="E43" s="28" t="n">
        <f aca="false">D46</f>
        <v>0</v>
      </c>
      <c r="F43" s="28" t="n">
        <f aca="false">E46</f>
        <v>100000</v>
      </c>
      <c r="G43" s="28" t="n">
        <f aca="false">F46</f>
        <v>100000</v>
      </c>
      <c r="H43" s="28" t="n">
        <f aca="false">G46</f>
        <v>100000</v>
      </c>
      <c r="I43" s="28" t="n">
        <f aca="false">H46</f>
        <v>95260.4681127618</v>
      </c>
      <c r="J43" s="28" t="n">
        <f aca="false">I46</f>
        <v>90434.0448075909</v>
      </c>
      <c r="K43" s="28" t="n">
        <f aca="false">J46</f>
        <v>85519.1370751585</v>
      </c>
      <c r="L43" s="28" t="n">
        <f aca="false">K46</f>
        <v>80514.1227009649</v>
      </c>
      <c r="M43" s="28" t="n">
        <f aca="false">L46</f>
        <v>75417.3497299111</v>
      </c>
      <c r="N43" s="28" t="n">
        <f aca="false">M46</f>
        <v>70227.1359210546</v>
      </c>
      <c r="O43" s="28" t="n">
        <f aca="false">N46</f>
        <v>64941.768192369</v>
      </c>
      <c r="P43" s="28" t="n">
        <f aca="false">O46</f>
        <v>59559.5020553242</v>
      </c>
      <c r="Q43" s="28" t="n">
        <f aca="false">P46</f>
        <v>54078.5610391003</v>
      </c>
      <c r="R43" s="28" t="n">
        <f aca="false">Q46</f>
        <v>48497.1361042456</v>
      </c>
      <c r="S43" s="28" t="n">
        <f aca="false">R46</f>
        <v>42813.3850455853</v>
      </c>
      <c r="T43" s="28" t="n">
        <f aca="false">S46</f>
        <v>37025.4318841828</v>
      </c>
      <c r="U43" s="28" t="n">
        <f aca="false">T46</f>
        <v>31131.3662481546</v>
      </c>
      <c r="V43" s="28" t="n">
        <f aca="false">U46</f>
        <v>25129.2427421326</v>
      </c>
      <c r="W43" s="28" t="n">
        <f aca="false">V46</f>
        <v>19017.0803051668</v>
      </c>
      <c r="X43" s="28" t="n">
        <f aca="false">W46</f>
        <v>12792.8615568567</v>
      </c>
      <c r="Y43" s="28" t="n">
        <f aca="false">X46</f>
        <v>6454.53213149417</v>
      </c>
      <c r="Z43" s="28" t="n">
        <f aca="false">Y46</f>
        <v>2.91038304567337E-011</v>
      </c>
      <c r="AA43" s="28" t="n">
        <f aca="false">Z46</f>
        <v>2.91038304567337E-011</v>
      </c>
      <c r="AB43" s="28" t="n">
        <f aca="false">AA46</f>
        <v>2.91038304567337E-011</v>
      </c>
      <c r="AC43" s="28" t="n">
        <f aca="false">AB46</f>
        <v>2.91038304567337E-011</v>
      </c>
      <c r="AD43" s="28" t="n">
        <f aca="false">AC46</f>
        <v>2.91038304567337E-011</v>
      </c>
      <c r="AE43" s="28" t="n">
        <f aca="false">AD46</f>
        <v>2.91038304567337E-011</v>
      </c>
      <c r="AF43" s="28" t="n">
        <f aca="false">AE46</f>
        <v>2.91038304567337E-011</v>
      </c>
      <c r="AG43" s="28" t="n">
        <f aca="false">AF46</f>
        <v>2.91038304567337E-011</v>
      </c>
      <c r="AH43" s="28" t="n">
        <f aca="false">AG46</f>
        <v>2.91038304567337E-011</v>
      </c>
      <c r="AI43" s="28" t="n">
        <f aca="false">AH46</f>
        <v>2.91038304567337E-011</v>
      </c>
      <c r="AJ43" s="28" t="n">
        <f aca="false">AI46</f>
        <v>2.91038304567337E-011</v>
      </c>
      <c r="AK43" s="28" t="n">
        <f aca="false">AJ46</f>
        <v>2.91038304567337E-011</v>
      </c>
      <c r="AL43" s="28" t="n">
        <f aca="false">AK46</f>
        <v>2.91038304567337E-011</v>
      </c>
      <c r="AM43" s="28" t="n">
        <f aca="false">AL46</f>
        <v>2.91038304567337E-011</v>
      </c>
      <c r="AN43" s="28" t="n">
        <f aca="false">AM46</f>
        <v>2.91038304567337E-011</v>
      </c>
      <c r="AO43" s="28" t="n">
        <f aca="false">AN46</f>
        <v>2.91038304567337E-011</v>
      </c>
      <c r="AP43" s="28" t="n">
        <f aca="false">AO46</f>
        <v>2.91038304567337E-011</v>
      </c>
      <c r="AQ43" s="28" t="n">
        <f aca="false">AP46</f>
        <v>2.91038304567337E-011</v>
      </c>
      <c r="AR43" s="28" t="n">
        <f aca="false">AQ46</f>
        <v>2.91038304567337E-011</v>
      </c>
      <c r="AS43" s="28" t="n">
        <f aca="false">AR46</f>
        <v>2.91038304567337E-011</v>
      </c>
      <c r="AT43" s="28" t="n">
        <f aca="false">AS46</f>
        <v>2.91038304567337E-011</v>
      </c>
      <c r="AU43" s="28" t="n">
        <f aca="false">AT46</f>
        <v>2.91038304567337E-011</v>
      </c>
      <c r="AV43" s="28" t="n">
        <f aca="false">AU46</f>
        <v>2.91038304567337E-011</v>
      </c>
      <c r="AW43" s="28" t="n">
        <f aca="false">AV46</f>
        <v>2.91038304567337E-011</v>
      </c>
      <c r="AX43" s="28" t="n">
        <f aca="false">AW46</f>
        <v>2.91038304567337E-011</v>
      </c>
      <c r="AY43" s="28" t="n">
        <f aca="false">AX46</f>
        <v>2.91038304567337E-011</v>
      </c>
      <c r="AZ43" s="28" t="n">
        <f aca="false">AY46</f>
        <v>2.91038304567337E-011</v>
      </c>
      <c r="BA43" s="28" t="n">
        <f aca="false">AZ46</f>
        <v>2.91038304567337E-011</v>
      </c>
      <c r="BB43" s="28" t="n">
        <f aca="false">BA46</f>
        <v>2.91038304567337E-011</v>
      </c>
      <c r="BC43" s="28" t="n">
        <f aca="false">BB46</f>
        <v>2.91038304567337E-011</v>
      </c>
      <c r="BD43" s="28" t="n">
        <f aca="false">BC46</f>
        <v>2.91038304567337E-011</v>
      </c>
      <c r="BE43" s="28" t="n">
        <f aca="false">BD46</f>
        <v>2.91038304567337E-011</v>
      </c>
      <c r="BF43" s="28" t="n">
        <f aca="false">BE46</f>
        <v>2.91038304567337E-011</v>
      </c>
      <c r="BG43" s="28" t="n">
        <f aca="false">BF46</f>
        <v>2.91038304567337E-011</v>
      </c>
      <c r="BH43" s="28" t="n">
        <f aca="false">BG46</f>
        <v>2.91038304567337E-011</v>
      </c>
      <c r="BI43" s="28" t="n">
        <f aca="false">BH46</f>
        <v>2.91038304567337E-011</v>
      </c>
      <c r="BJ43" s="28" t="n">
        <f aca="false">BI46</f>
        <v>2.91038304567337E-011</v>
      </c>
    </row>
    <row r="44" customFormat="false" ht="15" hidden="false" customHeight="false" outlineLevel="0" collapsed="false">
      <c r="A44" s="4" t="s">
        <v>183</v>
      </c>
      <c r="B44" s="4"/>
      <c r="C44" s="28" t="n">
        <f aca="false">C43*Assumptions!$F$47/12</f>
        <v>0</v>
      </c>
      <c r="D44" s="28" t="n">
        <f aca="false">D43*Assumptions!$F$47/12</f>
        <v>0</v>
      </c>
      <c r="E44" s="28" t="n">
        <f aca="false">E43*Assumptions!$F$47/12</f>
        <v>0</v>
      </c>
      <c r="F44" s="28" t="n">
        <f aca="false">F43*Assumptions!$F$47/12</f>
        <v>1833.33333333333</v>
      </c>
      <c r="G44" s="28" t="n">
        <f aca="false">G43*Assumptions!$F$47/12</f>
        <v>1833.33333333333</v>
      </c>
      <c r="H44" s="28" t="n">
        <f aca="false">H43*Assumptions!$F$47/12</f>
        <v>1833.33333333333</v>
      </c>
      <c r="I44" s="28" t="n">
        <f aca="false">I43*Assumptions!$F$47/12</f>
        <v>1746.44191540063</v>
      </c>
      <c r="J44" s="28" t="n">
        <f aca="false">J43*Assumptions!$F$47/12</f>
        <v>1657.95748813917</v>
      </c>
      <c r="K44" s="28" t="n">
        <f aca="false">K43*Assumptions!$F$47/12</f>
        <v>1567.85084637791</v>
      </c>
      <c r="L44" s="28" t="n">
        <f aca="false">L43*Assumptions!$F$47/12</f>
        <v>1476.09224951769</v>
      </c>
      <c r="M44" s="28" t="n">
        <f aca="false">M43*Assumptions!$F$47/12</f>
        <v>1382.65141171504</v>
      </c>
      <c r="N44" s="28" t="n">
        <f aca="false">N43*Assumptions!$F$47/12</f>
        <v>1287.497491886</v>
      </c>
      <c r="O44" s="28" t="n">
        <f aca="false">O43*Assumptions!$F$47/12</f>
        <v>1190.59908352677</v>
      </c>
      <c r="P44" s="28" t="n">
        <f aca="false">P43*Assumptions!$F$47/12</f>
        <v>1091.92420434761</v>
      </c>
      <c r="Q44" s="28" t="n">
        <f aca="false">Q43*Assumptions!$F$47/12</f>
        <v>991.440285716839</v>
      </c>
      <c r="R44" s="28" t="n">
        <f aca="false">R43*Assumptions!$F$47/12</f>
        <v>889.11416191117</v>
      </c>
      <c r="S44" s="28" t="n">
        <f aca="false">S43*Assumptions!$F$47/12</f>
        <v>784.912059169063</v>
      </c>
      <c r="T44" s="28" t="n">
        <f aca="false">T43*Assumptions!$F$47/12</f>
        <v>678.799584543351</v>
      </c>
      <c r="U44" s="28" t="n">
        <f aca="false">U43*Assumptions!$F$47/12</f>
        <v>570.741714549501</v>
      </c>
      <c r="V44" s="28" t="n">
        <f aca="false">V43*Assumptions!$F$47/12</f>
        <v>460.702783605764</v>
      </c>
      <c r="W44" s="28" t="n">
        <f aca="false">W43*Assumptions!$F$47/12</f>
        <v>348.646472261391</v>
      </c>
      <c r="X44" s="28" t="n">
        <f aca="false">X43*Assumptions!$F$47/12</f>
        <v>234.535795209039</v>
      </c>
      <c r="Y44" s="28" t="n">
        <f aca="false">Y43*Assumptions!$F$47/12</f>
        <v>118.333089077393</v>
      </c>
      <c r="Z44" s="28" t="n">
        <f aca="false">Z43*Assumptions!$F$47/12</f>
        <v>5.33570225040118E-013</v>
      </c>
      <c r="AA44" s="28" t="n">
        <f aca="false">AA43*Assumptions!$F$47/12</f>
        <v>5.33570225040118E-013</v>
      </c>
      <c r="AB44" s="28" t="n">
        <f aca="false">AB43*Assumptions!$F$47/12</f>
        <v>5.33570225040118E-013</v>
      </c>
      <c r="AC44" s="28" t="n">
        <f aca="false">AC43*Assumptions!$F$47/12</f>
        <v>5.33570225040118E-013</v>
      </c>
      <c r="AD44" s="28" t="n">
        <f aca="false">AD43*Assumptions!$F$47/12</f>
        <v>5.33570225040118E-013</v>
      </c>
      <c r="AE44" s="28" t="n">
        <f aca="false">AE43*Assumptions!$F$47/12</f>
        <v>5.33570225040118E-013</v>
      </c>
      <c r="AF44" s="28" t="n">
        <f aca="false">AF43*Assumptions!$F$47/12</f>
        <v>5.33570225040118E-013</v>
      </c>
      <c r="AG44" s="28" t="n">
        <f aca="false">AG43*Assumptions!$F$47/12</f>
        <v>5.33570225040118E-013</v>
      </c>
      <c r="AH44" s="28" t="n">
        <f aca="false">AH43*Assumptions!$F$47/12</f>
        <v>5.33570225040118E-013</v>
      </c>
      <c r="AI44" s="28" t="n">
        <f aca="false">AI43*Assumptions!$F$47/12</f>
        <v>5.33570225040118E-013</v>
      </c>
      <c r="AJ44" s="28" t="n">
        <f aca="false">AJ43*Assumptions!$F$47/12</f>
        <v>5.33570225040118E-013</v>
      </c>
      <c r="AK44" s="28" t="n">
        <f aca="false">AK43*Assumptions!$F$47/12</f>
        <v>5.33570225040118E-013</v>
      </c>
      <c r="AL44" s="28" t="n">
        <f aca="false">AL43*Assumptions!$F$47/12</f>
        <v>5.33570225040118E-013</v>
      </c>
      <c r="AM44" s="28" t="n">
        <f aca="false">AM43*Assumptions!$F$47/12</f>
        <v>5.33570225040118E-013</v>
      </c>
      <c r="AN44" s="28" t="n">
        <f aca="false">AN43*Assumptions!$F$47/12</f>
        <v>5.33570225040118E-013</v>
      </c>
      <c r="AO44" s="28" t="n">
        <f aca="false">AO43*Assumptions!$F$47/12</f>
        <v>5.33570225040118E-013</v>
      </c>
      <c r="AP44" s="28" t="n">
        <f aca="false">AP43*Assumptions!$F$47/12</f>
        <v>5.33570225040118E-013</v>
      </c>
      <c r="AQ44" s="28" t="n">
        <f aca="false">AQ43*Assumptions!$F$47/12</f>
        <v>5.33570225040118E-013</v>
      </c>
      <c r="AR44" s="28" t="n">
        <f aca="false">AR43*Assumptions!$F$47/12</f>
        <v>5.33570225040118E-013</v>
      </c>
      <c r="AS44" s="28" t="n">
        <f aca="false">AS43*Assumptions!$F$47/12</f>
        <v>5.33570225040118E-013</v>
      </c>
      <c r="AT44" s="28" t="n">
        <f aca="false">AT43*Assumptions!$F$47/12</f>
        <v>5.33570225040118E-013</v>
      </c>
      <c r="AU44" s="28" t="n">
        <f aca="false">AU43*Assumptions!$F$47/12</f>
        <v>5.33570225040118E-013</v>
      </c>
      <c r="AV44" s="28" t="n">
        <f aca="false">AV43*Assumptions!$F$47/12</f>
        <v>5.33570225040118E-013</v>
      </c>
      <c r="AW44" s="28" t="n">
        <f aca="false">AW43*Assumptions!$F$47/12</f>
        <v>5.33570225040118E-013</v>
      </c>
      <c r="AX44" s="28" t="n">
        <f aca="false">AX43*Assumptions!$F$47/12</f>
        <v>5.33570225040118E-013</v>
      </c>
      <c r="AY44" s="28" t="n">
        <f aca="false">AY43*Assumptions!$F$47/12</f>
        <v>5.33570225040118E-013</v>
      </c>
      <c r="AZ44" s="28" t="n">
        <f aca="false">AZ43*Assumptions!$F$47/12</f>
        <v>5.33570225040118E-013</v>
      </c>
      <c r="BA44" s="28" t="n">
        <f aca="false">BA43*Assumptions!$F$47/12</f>
        <v>5.33570225040118E-013</v>
      </c>
      <c r="BB44" s="28" t="n">
        <f aca="false">BB43*Assumptions!$F$47/12</f>
        <v>5.33570225040118E-013</v>
      </c>
      <c r="BC44" s="28" t="n">
        <f aca="false">BC43*Assumptions!$F$47/12</f>
        <v>5.33570225040118E-013</v>
      </c>
      <c r="BD44" s="28" t="n">
        <f aca="false">BD43*Assumptions!$F$47/12</f>
        <v>5.33570225040118E-013</v>
      </c>
      <c r="BE44" s="28" t="n">
        <f aca="false">BE43*Assumptions!$F$47/12</f>
        <v>5.33570225040118E-013</v>
      </c>
      <c r="BF44" s="28" t="n">
        <f aca="false">BF43*Assumptions!$F$47/12</f>
        <v>5.33570225040118E-013</v>
      </c>
      <c r="BG44" s="28" t="n">
        <f aca="false">BG43*Assumptions!$F$47/12</f>
        <v>5.33570225040118E-013</v>
      </c>
      <c r="BH44" s="28" t="n">
        <f aca="false">BH43*Assumptions!$F$47/12</f>
        <v>5.33570225040118E-013</v>
      </c>
      <c r="BI44" s="28" t="n">
        <f aca="false">BI43*Assumptions!$F$47/12</f>
        <v>5.33570225040118E-013</v>
      </c>
      <c r="BJ44" s="28" t="n">
        <f aca="false">BJ43*Assumptions!$F$47/12</f>
        <v>5.33570225040118E-013</v>
      </c>
    </row>
    <row r="45" customFormat="false" ht="15" hidden="false" customHeight="false" outlineLevel="0" collapsed="false">
      <c r="A45" s="4" t="s">
        <v>184</v>
      </c>
      <c r="B45" s="4"/>
      <c r="C45" s="28" t="n">
        <f aca="false">IF(AND(C$3&gt;Assumptions!$F$45+Assumptions!$F$48,C$3&lt;=Assumptions!$F$45+Assumptions!$F$48+Assumptions!$F$49),MIN(C43,Assumptions!$F$50-C44),0)</f>
        <v>0</v>
      </c>
      <c r="D45" s="28" t="n">
        <f aca="false">IF(AND(D$3&gt;Assumptions!$F$45+Assumptions!$F$48,D$3&lt;=Assumptions!$F$45+Assumptions!$F$48+Assumptions!$F$49),MIN(D43,Assumptions!$F$50-D44),0)</f>
        <v>0</v>
      </c>
      <c r="E45" s="28" t="n">
        <f aca="false">IF(AND(E$3&gt;Assumptions!$F$45+Assumptions!$F$48,E$3&lt;=Assumptions!$F$45+Assumptions!$F$48+Assumptions!$F$49),MIN(E43,Assumptions!$F$50-E44),0)</f>
        <v>0</v>
      </c>
      <c r="F45" s="28" t="n">
        <f aca="false">IF(AND(F$3&gt;Assumptions!$F$45+Assumptions!$F$48,F$3&lt;=Assumptions!$F$45+Assumptions!$F$48+Assumptions!$F$49),MIN(F43,Assumptions!$F$50-F44),0)</f>
        <v>0</v>
      </c>
      <c r="G45" s="28" t="n">
        <f aca="false">IF(AND(G$3&gt;Assumptions!$F$45+Assumptions!$F$48,G$3&lt;=Assumptions!$F$45+Assumptions!$F$48+Assumptions!$F$49),MIN(G43,Assumptions!$F$50-G44),0)</f>
        <v>0</v>
      </c>
      <c r="H45" s="28" t="n">
        <f aca="false">IF(AND(H$3&gt;Assumptions!$F$45+Assumptions!$F$48,H$3&lt;=Assumptions!$F$45+Assumptions!$F$48+Assumptions!$F$49),MIN(H43,Assumptions!$F$50-H44),0)</f>
        <v>4739.5318872382</v>
      </c>
      <c r="I45" s="28" t="n">
        <f aca="false">IF(AND(I$3&gt;Assumptions!$F$45+Assumptions!$F$48,I$3&lt;=Assumptions!$F$45+Assumptions!$F$48+Assumptions!$F$49),MIN(I43,Assumptions!$F$50-I44),0)</f>
        <v>4826.4233051709</v>
      </c>
      <c r="J45" s="28" t="n">
        <f aca="false">IF(AND(J$3&gt;Assumptions!$F$45+Assumptions!$F$48,J$3&lt;=Assumptions!$F$45+Assumptions!$F$48+Assumptions!$F$49),MIN(J43,Assumptions!$F$50-J44),0)</f>
        <v>4914.90773243237</v>
      </c>
      <c r="K45" s="28" t="n">
        <f aca="false">IF(AND(K$3&gt;Assumptions!$F$45+Assumptions!$F$48,K$3&lt;=Assumptions!$F$45+Assumptions!$F$48+Assumptions!$F$49),MIN(K43,Assumptions!$F$50-K44),0)</f>
        <v>5005.01437419363</v>
      </c>
      <c r="L45" s="28" t="n">
        <f aca="false">IF(AND(L$3&gt;Assumptions!$F$45+Assumptions!$F$48,L$3&lt;=Assumptions!$F$45+Assumptions!$F$48+Assumptions!$F$49),MIN(L43,Assumptions!$F$50-L44),0)</f>
        <v>5096.77297105385</v>
      </c>
      <c r="M45" s="28" t="n">
        <f aca="false">IF(AND(M$3&gt;Assumptions!$F$45+Assumptions!$F$48,M$3&lt;=Assumptions!$F$45+Assumptions!$F$48+Assumptions!$F$49),MIN(M43,Assumptions!$F$50-M44),0)</f>
        <v>5190.2138088565</v>
      </c>
      <c r="N45" s="28" t="n">
        <f aca="false">IF(AND(N$3&gt;Assumptions!$F$45+Assumptions!$F$48,N$3&lt;=Assumptions!$F$45+Assumptions!$F$48+Assumptions!$F$49),MIN(N43,Assumptions!$F$50-N44),0)</f>
        <v>5285.36772868553</v>
      </c>
      <c r="O45" s="28" t="n">
        <f aca="false">IF(AND(O$3&gt;Assumptions!$F$45+Assumptions!$F$48,O$3&lt;=Assumptions!$F$45+Assumptions!$F$48+Assumptions!$F$49),MIN(O43,Assumptions!$F$50-O44),0)</f>
        <v>5382.26613704477</v>
      </c>
      <c r="P45" s="28" t="n">
        <f aca="false">IF(AND(P$3&gt;Assumptions!$F$45+Assumptions!$F$48,P$3&lt;=Assumptions!$F$45+Assumptions!$F$48+Assumptions!$F$49),MIN(P43,Assumptions!$F$50-P44),0)</f>
        <v>5480.94101622392</v>
      </c>
      <c r="Q45" s="28" t="n">
        <f aca="false">IF(AND(Q$3&gt;Assumptions!$F$45+Assumptions!$F$48,Q$3&lt;=Assumptions!$F$45+Assumptions!$F$48+Assumptions!$F$49),MIN(Q43,Assumptions!$F$50-Q44),0)</f>
        <v>5581.4249348547</v>
      </c>
      <c r="R45" s="28" t="n">
        <f aca="false">IF(AND(R$3&gt;Assumptions!$F$45+Assumptions!$F$48,R$3&lt;=Assumptions!$F$45+Assumptions!$F$48+Assumptions!$F$49),MIN(R43,Assumptions!$F$50-R44),0)</f>
        <v>5683.75105866037</v>
      </c>
      <c r="S45" s="28" t="n">
        <f aca="false">IF(AND(S$3&gt;Assumptions!$F$45+Assumptions!$F$48,S$3&lt;=Assumptions!$F$45+Assumptions!$F$48+Assumptions!$F$49),MIN(S43,Assumptions!$F$50-S44),0)</f>
        <v>5787.95316140247</v>
      </c>
      <c r="T45" s="28" t="n">
        <f aca="false">IF(AND(T$3&gt;Assumptions!$F$45+Assumptions!$F$48,T$3&lt;=Assumptions!$F$45+Assumptions!$F$48+Assumptions!$F$49),MIN(T43,Assumptions!$F$50-T44),0)</f>
        <v>5894.06563602818</v>
      </c>
      <c r="U45" s="28" t="n">
        <f aca="false">IF(AND(U$3&gt;Assumptions!$F$45+Assumptions!$F$48,U$3&lt;=Assumptions!$F$45+Assumptions!$F$48+Assumptions!$F$49),MIN(U43,Assumptions!$F$50-U44),0)</f>
        <v>6002.12350602203</v>
      </c>
      <c r="V45" s="28" t="n">
        <f aca="false">IF(AND(V$3&gt;Assumptions!$F$45+Assumptions!$F$48,V$3&lt;=Assumptions!$F$45+Assumptions!$F$48+Assumptions!$F$49),MIN(V43,Assumptions!$F$50-V44),0)</f>
        <v>6112.16243696577</v>
      </c>
      <c r="W45" s="28" t="n">
        <f aca="false">IF(AND(W$3&gt;Assumptions!$F$45+Assumptions!$F$48,W$3&lt;=Assumptions!$F$45+Assumptions!$F$48+Assumptions!$F$49),MIN(W43,Assumptions!$F$50-W44),0)</f>
        <v>6224.21874831014</v>
      </c>
      <c r="X45" s="28" t="n">
        <f aca="false">IF(AND(X$3&gt;Assumptions!$F$45+Assumptions!$F$48,X$3&lt;=Assumptions!$F$45+Assumptions!$F$48+Assumptions!$F$49),MIN(X43,Assumptions!$F$50-X44),0)</f>
        <v>6338.3294253625</v>
      </c>
      <c r="Y45" s="28" t="n">
        <f aca="false">IF(AND(Y$3&gt;Assumptions!$F$45+Assumptions!$F$48,Y$3&lt;=Assumptions!$F$45+Assumptions!$F$48+Assumptions!$F$49),MIN(Y43,Assumptions!$F$50-Y44),0)</f>
        <v>6454.53213149414</v>
      </c>
      <c r="Z45" s="28" t="n">
        <f aca="false">IF(AND(Z$3&gt;Assumptions!$F$45+Assumptions!$F$48,Z$3&lt;=Assumptions!$F$45+Assumptions!$F$48+Assumptions!$F$49),MIN(Z43,Assumptions!$F$50-Z44),0)</f>
        <v>0</v>
      </c>
      <c r="AA45" s="28" t="n">
        <f aca="false">IF(AND(AA$3&gt;Assumptions!$F$45+Assumptions!$F$48,AA$3&lt;=Assumptions!$F$45+Assumptions!$F$48+Assumptions!$F$49),MIN(AA43,Assumptions!$F$50-AA44),0)</f>
        <v>0</v>
      </c>
      <c r="AB45" s="28" t="n">
        <f aca="false">IF(AND(AB$3&gt;Assumptions!$F$45+Assumptions!$F$48,AB$3&lt;=Assumptions!$F$45+Assumptions!$F$48+Assumptions!$F$49),MIN(AB43,Assumptions!$F$50-AB44),0)</f>
        <v>0</v>
      </c>
      <c r="AC45" s="28" t="n">
        <f aca="false">IF(AND(AC$3&gt;Assumptions!$F$45+Assumptions!$F$48,AC$3&lt;=Assumptions!$F$45+Assumptions!$F$48+Assumptions!$F$49),MIN(AC43,Assumptions!$F$50-AC44),0)</f>
        <v>0</v>
      </c>
      <c r="AD45" s="28" t="n">
        <f aca="false">IF(AND(AD$3&gt;Assumptions!$F$45+Assumptions!$F$48,AD$3&lt;=Assumptions!$F$45+Assumptions!$F$48+Assumptions!$F$49),MIN(AD43,Assumptions!$F$50-AD44),0)</f>
        <v>0</v>
      </c>
      <c r="AE45" s="28" t="n">
        <f aca="false">IF(AND(AE$3&gt;Assumptions!$F$45+Assumptions!$F$48,AE$3&lt;=Assumptions!$F$45+Assumptions!$F$48+Assumptions!$F$49),MIN(AE43,Assumptions!$F$50-AE44),0)</f>
        <v>0</v>
      </c>
      <c r="AF45" s="28" t="n">
        <f aca="false">IF(AND(AF$3&gt;Assumptions!$F$45+Assumptions!$F$48,AF$3&lt;=Assumptions!$F$45+Assumptions!$F$48+Assumptions!$F$49),MIN(AF43,Assumptions!$F$50-AF44),0)</f>
        <v>0</v>
      </c>
      <c r="AG45" s="28" t="n">
        <f aca="false">IF(AND(AG$3&gt;Assumptions!$F$45+Assumptions!$F$48,AG$3&lt;=Assumptions!$F$45+Assumptions!$F$48+Assumptions!$F$49),MIN(AG43,Assumptions!$F$50-AG44),0)</f>
        <v>0</v>
      </c>
      <c r="AH45" s="28" t="n">
        <f aca="false">IF(AND(AH$3&gt;Assumptions!$F$45+Assumptions!$F$48,AH$3&lt;=Assumptions!$F$45+Assumptions!$F$48+Assumptions!$F$49),MIN(AH43,Assumptions!$F$50-AH44),0)</f>
        <v>0</v>
      </c>
      <c r="AI45" s="28" t="n">
        <f aca="false">IF(AND(AI$3&gt;Assumptions!$F$45+Assumptions!$F$48,AI$3&lt;=Assumptions!$F$45+Assumptions!$F$48+Assumptions!$F$49),MIN(AI43,Assumptions!$F$50-AI44),0)</f>
        <v>0</v>
      </c>
      <c r="AJ45" s="28" t="n">
        <f aca="false">IF(AND(AJ$3&gt;Assumptions!$F$45+Assumptions!$F$48,AJ$3&lt;=Assumptions!$F$45+Assumptions!$F$48+Assumptions!$F$49),MIN(AJ43,Assumptions!$F$50-AJ44),0)</f>
        <v>0</v>
      </c>
      <c r="AK45" s="28" t="n">
        <f aca="false">IF(AND(AK$3&gt;Assumptions!$F$45+Assumptions!$F$48,AK$3&lt;=Assumptions!$F$45+Assumptions!$F$48+Assumptions!$F$49),MIN(AK43,Assumptions!$F$50-AK44),0)</f>
        <v>0</v>
      </c>
      <c r="AL45" s="28" t="n">
        <f aca="false">IF(AND(AL$3&gt;Assumptions!$F$45+Assumptions!$F$48,AL$3&lt;=Assumptions!$F$45+Assumptions!$F$48+Assumptions!$F$49),MIN(AL43,Assumptions!$F$50-AL44),0)</f>
        <v>0</v>
      </c>
      <c r="AM45" s="28" t="n">
        <f aca="false">IF(AND(AM$3&gt;Assumptions!$F$45+Assumptions!$F$48,AM$3&lt;=Assumptions!$F$45+Assumptions!$F$48+Assumptions!$F$49),MIN(AM43,Assumptions!$F$50-AM44),0)</f>
        <v>0</v>
      </c>
      <c r="AN45" s="28" t="n">
        <f aca="false">IF(AND(AN$3&gt;Assumptions!$F$45+Assumptions!$F$48,AN$3&lt;=Assumptions!$F$45+Assumptions!$F$48+Assumptions!$F$49),MIN(AN43,Assumptions!$F$50-AN44),0)</f>
        <v>0</v>
      </c>
      <c r="AO45" s="28" t="n">
        <f aca="false">IF(AND(AO$3&gt;Assumptions!$F$45+Assumptions!$F$48,AO$3&lt;=Assumptions!$F$45+Assumptions!$F$48+Assumptions!$F$49),MIN(AO43,Assumptions!$F$50-AO44),0)</f>
        <v>0</v>
      </c>
      <c r="AP45" s="28" t="n">
        <f aca="false">IF(AND(AP$3&gt;Assumptions!$F$45+Assumptions!$F$48,AP$3&lt;=Assumptions!$F$45+Assumptions!$F$48+Assumptions!$F$49),MIN(AP43,Assumptions!$F$50-AP44),0)</f>
        <v>0</v>
      </c>
      <c r="AQ45" s="28" t="n">
        <f aca="false">IF(AND(AQ$3&gt;Assumptions!$F$45+Assumptions!$F$48,AQ$3&lt;=Assumptions!$F$45+Assumptions!$F$48+Assumptions!$F$49),MIN(AQ43,Assumptions!$F$50-AQ44),0)</f>
        <v>0</v>
      </c>
      <c r="AR45" s="28" t="n">
        <f aca="false">IF(AND(AR$3&gt;Assumptions!$F$45+Assumptions!$F$48,AR$3&lt;=Assumptions!$F$45+Assumptions!$F$48+Assumptions!$F$49),MIN(AR43,Assumptions!$F$50-AR44),0)</f>
        <v>0</v>
      </c>
      <c r="AS45" s="28" t="n">
        <f aca="false">IF(AND(AS$3&gt;Assumptions!$F$45+Assumptions!$F$48,AS$3&lt;=Assumptions!$F$45+Assumptions!$F$48+Assumptions!$F$49),MIN(AS43,Assumptions!$F$50-AS44),0)</f>
        <v>0</v>
      </c>
      <c r="AT45" s="28" t="n">
        <f aca="false">IF(AND(AT$3&gt;Assumptions!$F$45+Assumptions!$F$48,AT$3&lt;=Assumptions!$F$45+Assumptions!$F$48+Assumptions!$F$49),MIN(AT43,Assumptions!$F$50-AT44),0)</f>
        <v>0</v>
      </c>
      <c r="AU45" s="28" t="n">
        <f aca="false">IF(AND(AU$3&gt;Assumptions!$F$45+Assumptions!$F$48,AU$3&lt;=Assumptions!$F$45+Assumptions!$F$48+Assumptions!$F$49),MIN(AU43,Assumptions!$F$50-AU44),0)</f>
        <v>0</v>
      </c>
      <c r="AV45" s="28" t="n">
        <f aca="false">IF(AND(AV$3&gt;Assumptions!$F$45+Assumptions!$F$48,AV$3&lt;=Assumptions!$F$45+Assumptions!$F$48+Assumptions!$F$49),MIN(AV43,Assumptions!$F$50-AV44),0)</f>
        <v>0</v>
      </c>
      <c r="AW45" s="28" t="n">
        <f aca="false">IF(AND(AW$3&gt;Assumptions!$F$45+Assumptions!$F$48,AW$3&lt;=Assumptions!$F$45+Assumptions!$F$48+Assumptions!$F$49),MIN(AW43,Assumptions!$F$50-AW44),0)</f>
        <v>0</v>
      </c>
      <c r="AX45" s="28" t="n">
        <f aca="false">IF(AND(AX$3&gt;Assumptions!$F$45+Assumptions!$F$48,AX$3&lt;=Assumptions!$F$45+Assumptions!$F$48+Assumptions!$F$49),MIN(AX43,Assumptions!$F$50-AX44),0)</f>
        <v>0</v>
      </c>
      <c r="AY45" s="28" t="n">
        <f aca="false">IF(AND(AY$3&gt;Assumptions!$F$45+Assumptions!$F$48,AY$3&lt;=Assumptions!$F$45+Assumptions!$F$48+Assumptions!$F$49),MIN(AY43,Assumptions!$F$50-AY44),0)</f>
        <v>0</v>
      </c>
      <c r="AZ45" s="28" t="n">
        <f aca="false">IF(AND(AZ$3&gt;Assumptions!$F$45+Assumptions!$F$48,AZ$3&lt;=Assumptions!$F$45+Assumptions!$F$48+Assumptions!$F$49),MIN(AZ43,Assumptions!$F$50-AZ44),0)</f>
        <v>0</v>
      </c>
      <c r="BA45" s="28" t="n">
        <f aca="false">IF(AND(BA$3&gt;Assumptions!$F$45+Assumptions!$F$48,BA$3&lt;=Assumptions!$F$45+Assumptions!$F$48+Assumptions!$F$49),MIN(BA43,Assumptions!$F$50-BA44),0)</f>
        <v>0</v>
      </c>
      <c r="BB45" s="28" t="n">
        <f aca="false">IF(AND(BB$3&gt;Assumptions!$F$45+Assumptions!$F$48,BB$3&lt;=Assumptions!$F$45+Assumptions!$F$48+Assumptions!$F$49),MIN(BB43,Assumptions!$F$50-BB44),0)</f>
        <v>0</v>
      </c>
      <c r="BC45" s="28" t="n">
        <f aca="false">IF(AND(BC$3&gt;Assumptions!$F$45+Assumptions!$F$48,BC$3&lt;=Assumptions!$F$45+Assumptions!$F$48+Assumptions!$F$49),MIN(BC43,Assumptions!$F$50-BC44),0)</f>
        <v>0</v>
      </c>
      <c r="BD45" s="28" t="n">
        <f aca="false">IF(AND(BD$3&gt;Assumptions!$F$45+Assumptions!$F$48,BD$3&lt;=Assumptions!$F$45+Assumptions!$F$48+Assumptions!$F$49),MIN(BD43,Assumptions!$F$50-BD44),0)</f>
        <v>0</v>
      </c>
      <c r="BE45" s="28" t="n">
        <f aca="false">IF(AND(BE$3&gt;Assumptions!$F$45+Assumptions!$F$48,BE$3&lt;=Assumptions!$F$45+Assumptions!$F$48+Assumptions!$F$49),MIN(BE43,Assumptions!$F$50-BE44),0)</f>
        <v>0</v>
      </c>
      <c r="BF45" s="28" t="n">
        <f aca="false">IF(AND(BF$3&gt;Assumptions!$F$45+Assumptions!$F$48,BF$3&lt;=Assumptions!$F$45+Assumptions!$F$48+Assumptions!$F$49),MIN(BF43,Assumptions!$F$50-BF44),0)</f>
        <v>0</v>
      </c>
      <c r="BG45" s="28" t="n">
        <f aca="false">IF(AND(BG$3&gt;Assumptions!$F$45+Assumptions!$F$48,BG$3&lt;=Assumptions!$F$45+Assumptions!$F$48+Assumptions!$F$49),MIN(BG43,Assumptions!$F$50-BG44),0)</f>
        <v>0</v>
      </c>
      <c r="BH45" s="28" t="n">
        <f aca="false">IF(AND(BH$3&gt;Assumptions!$F$45+Assumptions!$F$48,BH$3&lt;=Assumptions!$F$45+Assumptions!$F$48+Assumptions!$F$49),MIN(BH43,Assumptions!$F$50-BH44),0)</f>
        <v>0</v>
      </c>
      <c r="BI45" s="28" t="n">
        <f aca="false">IF(AND(BI$3&gt;Assumptions!$F$45+Assumptions!$F$48,BI$3&lt;=Assumptions!$F$45+Assumptions!$F$48+Assumptions!$F$49),MIN(BI43,Assumptions!$F$50-BI44),0)</f>
        <v>0</v>
      </c>
      <c r="BJ45" s="28" t="n">
        <f aca="false">IF(AND(BJ$3&gt;Assumptions!$F$45+Assumptions!$F$48,BJ$3&lt;=Assumptions!$F$45+Assumptions!$F$48+Assumptions!$F$49),MIN(BJ43,Assumptions!$F$50-BJ44),0)</f>
        <v>0</v>
      </c>
    </row>
    <row r="46" customFormat="false" ht="15" hidden="false" customHeight="false" outlineLevel="0" collapsed="false">
      <c r="A46" s="4" t="s">
        <v>185</v>
      </c>
      <c r="B46" s="4"/>
      <c r="C46" s="28" t="n">
        <f aca="false">C43+C42-C45</f>
        <v>0</v>
      </c>
      <c r="D46" s="28" t="n">
        <f aca="false">D43+D42-D45</f>
        <v>0</v>
      </c>
      <c r="E46" s="28" t="n">
        <f aca="false">E43+E42-E45</f>
        <v>100000</v>
      </c>
      <c r="F46" s="28" t="n">
        <f aca="false">F43+F42-F45</f>
        <v>100000</v>
      </c>
      <c r="G46" s="28" t="n">
        <f aca="false">G43+G42-G45</f>
        <v>100000</v>
      </c>
      <c r="H46" s="28" t="n">
        <f aca="false">H43+H42-H45</f>
        <v>95260.4681127618</v>
      </c>
      <c r="I46" s="28" t="n">
        <f aca="false">I43+I42-I45</f>
        <v>90434.0448075909</v>
      </c>
      <c r="J46" s="28" t="n">
        <f aca="false">J43+J42-J45</f>
        <v>85519.1370751585</v>
      </c>
      <c r="K46" s="28" t="n">
        <f aca="false">K43+K42-K45</f>
        <v>80514.1227009649</v>
      </c>
      <c r="L46" s="28" t="n">
        <f aca="false">L43+L42-L45</f>
        <v>75417.3497299111</v>
      </c>
      <c r="M46" s="28" t="n">
        <f aca="false">M43+M42-M45</f>
        <v>70227.1359210546</v>
      </c>
      <c r="N46" s="28" t="n">
        <f aca="false">N43+N42-N45</f>
        <v>64941.768192369</v>
      </c>
      <c r="O46" s="28" t="n">
        <f aca="false">O43+O42-O45</f>
        <v>59559.5020553242</v>
      </c>
      <c r="P46" s="28" t="n">
        <f aca="false">P43+P42-P45</f>
        <v>54078.5610391003</v>
      </c>
      <c r="Q46" s="28" t="n">
        <f aca="false">Q43+Q42-Q45</f>
        <v>48497.1361042456</v>
      </c>
      <c r="R46" s="28" t="n">
        <f aca="false">R43+R42-R45</f>
        <v>42813.3850455853</v>
      </c>
      <c r="S46" s="28" t="n">
        <f aca="false">S43+S42-S45</f>
        <v>37025.4318841828</v>
      </c>
      <c r="T46" s="28" t="n">
        <f aca="false">T43+T42-T45</f>
        <v>31131.3662481546</v>
      </c>
      <c r="U46" s="28" t="n">
        <f aca="false">U43+U42-U45</f>
        <v>25129.2427421326</v>
      </c>
      <c r="V46" s="28" t="n">
        <f aca="false">V43+V42-V45</f>
        <v>19017.0803051668</v>
      </c>
      <c r="W46" s="28" t="n">
        <f aca="false">W43+W42-W45</f>
        <v>12792.8615568567</v>
      </c>
      <c r="X46" s="28" t="n">
        <f aca="false">X43+X42-X45</f>
        <v>6454.53213149417</v>
      </c>
      <c r="Y46" s="28" t="n">
        <f aca="false">Y43+Y42-Y45</f>
        <v>2.91038304567337E-011</v>
      </c>
      <c r="Z46" s="28" t="n">
        <f aca="false">Z43+Z42-Z45</f>
        <v>2.91038304567337E-011</v>
      </c>
      <c r="AA46" s="28" t="n">
        <f aca="false">AA43+AA42-AA45</f>
        <v>2.91038304567337E-011</v>
      </c>
      <c r="AB46" s="28" t="n">
        <f aca="false">AB43+AB42-AB45</f>
        <v>2.91038304567337E-011</v>
      </c>
      <c r="AC46" s="28" t="n">
        <f aca="false">AC43+AC42-AC45</f>
        <v>2.91038304567337E-011</v>
      </c>
      <c r="AD46" s="28" t="n">
        <f aca="false">AD43+AD42-AD45</f>
        <v>2.91038304567337E-011</v>
      </c>
      <c r="AE46" s="28" t="n">
        <f aca="false">AE43+AE42-AE45</f>
        <v>2.91038304567337E-011</v>
      </c>
      <c r="AF46" s="28" t="n">
        <f aca="false">AF43+AF42-AF45</f>
        <v>2.91038304567337E-011</v>
      </c>
      <c r="AG46" s="28" t="n">
        <f aca="false">AG43+AG42-AG45</f>
        <v>2.91038304567337E-011</v>
      </c>
      <c r="AH46" s="28" t="n">
        <f aca="false">AH43+AH42-AH45</f>
        <v>2.91038304567337E-011</v>
      </c>
      <c r="AI46" s="28" t="n">
        <f aca="false">AI43+AI42-AI45</f>
        <v>2.91038304567337E-011</v>
      </c>
      <c r="AJ46" s="28" t="n">
        <f aca="false">AJ43+AJ42-AJ45</f>
        <v>2.91038304567337E-011</v>
      </c>
      <c r="AK46" s="28" t="n">
        <f aca="false">AK43+AK42-AK45</f>
        <v>2.91038304567337E-011</v>
      </c>
      <c r="AL46" s="28" t="n">
        <f aca="false">AL43+AL42-AL45</f>
        <v>2.91038304567337E-011</v>
      </c>
      <c r="AM46" s="28" t="n">
        <f aca="false">AM43+AM42-AM45</f>
        <v>2.91038304567337E-011</v>
      </c>
      <c r="AN46" s="28" t="n">
        <f aca="false">AN43+AN42-AN45</f>
        <v>2.91038304567337E-011</v>
      </c>
      <c r="AO46" s="28" t="n">
        <f aca="false">AO43+AO42-AO45</f>
        <v>2.91038304567337E-011</v>
      </c>
      <c r="AP46" s="28" t="n">
        <f aca="false">AP43+AP42-AP45</f>
        <v>2.91038304567337E-011</v>
      </c>
      <c r="AQ46" s="28" t="n">
        <f aca="false">AQ43+AQ42-AQ45</f>
        <v>2.91038304567337E-011</v>
      </c>
      <c r="AR46" s="28" t="n">
        <f aca="false">AR43+AR42-AR45</f>
        <v>2.91038304567337E-011</v>
      </c>
      <c r="AS46" s="28" t="n">
        <f aca="false">AS43+AS42-AS45</f>
        <v>2.91038304567337E-011</v>
      </c>
      <c r="AT46" s="28" t="n">
        <f aca="false">AT43+AT42-AT45</f>
        <v>2.91038304567337E-011</v>
      </c>
      <c r="AU46" s="28" t="n">
        <f aca="false">AU43+AU42-AU45</f>
        <v>2.91038304567337E-011</v>
      </c>
      <c r="AV46" s="28" t="n">
        <f aca="false">AV43+AV42-AV45</f>
        <v>2.91038304567337E-011</v>
      </c>
      <c r="AW46" s="28" t="n">
        <f aca="false">AW43+AW42-AW45</f>
        <v>2.91038304567337E-011</v>
      </c>
      <c r="AX46" s="28" t="n">
        <f aca="false">AX43+AX42-AX45</f>
        <v>2.91038304567337E-011</v>
      </c>
      <c r="AY46" s="28" t="n">
        <f aca="false">AY43+AY42-AY45</f>
        <v>2.91038304567337E-011</v>
      </c>
      <c r="AZ46" s="28" t="n">
        <f aca="false">AZ43+AZ42-AZ45</f>
        <v>2.91038304567337E-011</v>
      </c>
      <c r="BA46" s="28" t="n">
        <f aca="false">BA43+BA42-BA45</f>
        <v>2.91038304567337E-011</v>
      </c>
      <c r="BB46" s="28" t="n">
        <f aca="false">BB43+BB42-BB45</f>
        <v>2.91038304567337E-011</v>
      </c>
      <c r="BC46" s="28" t="n">
        <f aca="false">BC43+BC42-BC45</f>
        <v>2.91038304567337E-011</v>
      </c>
      <c r="BD46" s="28" t="n">
        <f aca="false">BD43+BD42-BD45</f>
        <v>2.91038304567337E-011</v>
      </c>
      <c r="BE46" s="28" t="n">
        <f aca="false">BE43+BE42-BE45</f>
        <v>2.91038304567337E-011</v>
      </c>
      <c r="BF46" s="28" t="n">
        <f aca="false">BF43+BF42-BF45</f>
        <v>2.91038304567337E-011</v>
      </c>
      <c r="BG46" s="28" t="n">
        <f aca="false">BG43+BG42-BG45</f>
        <v>2.91038304567337E-011</v>
      </c>
      <c r="BH46" s="28" t="n">
        <f aca="false">BH43+BH42-BH45</f>
        <v>2.91038304567337E-011</v>
      </c>
      <c r="BI46" s="28" t="n">
        <f aca="false">BI43+BI42-BI45</f>
        <v>2.91038304567337E-011</v>
      </c>
      <c r="BJ46" s="28" t="n">
        <f aca="false">BJ43+BJ42-BJ45</f>
        <v>2.91038304567337E-011</v>
      </c>
    </row>
    <row r="47" customFormat="false" ht="15" hidden="false" customHeight="false" outlineLevel="0" collapsed="false">
      <c r="A47" s="4" t="s">
        <v>186</v>
      </c>
      <c r="B47" s="4"/>
      <c r="C47" s="28" t="n">
        <f aca="false">IF(C$3=Assumptions!$F$10,Assumptions!$F$44,0)</f>
        <v>20000</v>
      </c>
      <c r="D47" s="28" t="n">
        <f aca="false">IF(D$3=Assumptions!$F$10,Assumptions!$F$44,0)</f>
        <v>0</v>
      </c>
      <c r="E47" s="28" t="n">
        <f aca="false">IF(E$3=Assumptions!$F$10,Assumptions!$F$44,0)</f>
        <v>0</v>
      </c>
      <c r="F47" s="28" t="n">
        <f aca="false">IF(F$3=Assumptions!$F$10,Assumptions!$F$44,0)</f>
        <v>0</v>
      </c>
      <c r="G47" s="28" t="n">
        <f aca="false">IF(G$3=Assumptions!$F$10,Assumptions!$F$44,0)</f>
        <v>0</v>
      </c>
      <c r="H47" s="28" t="n">
        <f aca="false">IF(H$3=Assumptions!$F$10,Assumptions!$F$44,0)</f>
        <v>0</v>
      </c>
      <c r="I47" s="28" t="n">
        <f aca="false">IF(I$3=Assumptions!$F$10,Assumptions!$F$44,0)</f>
        <v>0</v>
      </c>
      <c r="J47" s="28" t="n">
        <f aca="false">IF(J$3=Assumptions!$F$10,Assumptions!$F$44,0)</f>
        <v>0</v>
      </c>
      <c r="K47" s="28" t="n">
        <f aca="false">IF(K$3=Assumptions!$F$10,Assumptions!$F$44,0)</f>
        <v>0</v>
      </c>
      <c r="L47" s="28" t="n">
        <f aca="false">IF(L$3=Assumptions!$F$10,Assumptions!$F$44,0)</f>
        <v>0</v>
      </c>
      <c r="M47" s="28" t="n">
        <f aca="false">IF(M$3=Assumptions!$F$10,Assumptions!$F$44,0)</f>
        <v>0</v>
      </c>
      <c r="N47" s="28" t="n">
        <f aca="false">IF(N$3=Assumptions!$F$10,Assumptions!$F$44,0)</f>
        <v>0</v>
      </c>
      <c r="O47" s="28" t="n">
        <f aca="false">IF(O$3=Assumptions!$F$10,Assumptions!$F$44,0)</f>
        <v>0</v>
      </c>
      <c r="P47" s="28" t="n">
        <f aca="false">IF(P$3=Assumptions!$F$10,Assumptions!$F$44,0)</f>
        <v>0</v>
      </c>
      <c r="Q47" s="28" t="n">
        <f aca="false">IF(Q$3=Assumptions!$F$10,Assumptions!$F$44,0)</f>
        <v>0</v>
      </c>
      <c r="R47" s="28" t="n">
        <f aca="false">IF(R$3=Assumptions!$F$10,Assumptions!$F$44,0)</f>
        <v>0</v>
      </c>
      <c r="S47" s="28" t="n">
        <f aca="false">IF(S$3=Assumptions!$F$10,Assumptions!$F$44,0)</f>
        <v>0</v>
      </c>
      <c r="T47" s="28" t="n">
        <f aca="false">IF(T$3=Assumptions!$F$10,Assumptions!$F$44,0)</f>
        <v>0</v>
      </c>
      <c r="U47" s="28" t="n">
        <f aca="false">IF(U$3=Assumptions!$F$10,Assumptions!$F$44,0)</f>
        <v>0</v>
      </c>
      <c r="V47" s="28" t="n">
        <f aca="false">IF(V$3=Assumptions!$F$10,Assumptions!$F$44,0)</f>
        <v>0</v>
      </c>
      <c r="W47" s="28" t="n">
        <f aca="false">IF(W$3=Assumptions!$F$10,Assumptions!$F$44,0)</f>
        <v>0</v>
      </c>
      <c r="X47" s="28" t="n">
        <f aca="false">IF(X$3=Assumptions!$F$10,Assumptions!$F$44,0)</f>
        <v>0</v>
      </c>
      <c r="Y47" s="28" t="n">
        <f aca="false">IF(Y$3=Assumptions!$F$10,Assumptions!$F$44,0)</f>
        <v>0</v>
      </c>
      <c r="Z47" s="28" t="n">
        <f aca="false">IF(Z$3=Assumptions!$F$10,Assumptions!$F$44,0)</f>
        <v>0</v>
      </c>
      <c r="AA47" s="28" t="n">
        <f aca="false">IF(AA$3=Assumptions!$F$10,Assumptions!$F$44,0)</f>
        <v>0</v>
      </c>
      <c r="AB47" s="28" t="n">
        <f aca="false">IF(AB$3=Assumptions!$F$10,Assumptions!$F$44,0)</f>
        <v>0</v>
      </c>
      <c r="AC47" s="28" t="n">
        <f aca="false">IF(AC$3=Assumptions!$F$10,Assumptions!$F$44,0)</f>
        <v>0</v>
      </c>
      <c r="AD47" s="28" t="n">
        <f aca="false">IF(AD$3=Assumptions!$F$10,Assumptions!$F$44,0)</f>
        <v>0</v>
      </c>
      <c r="AE47" s="28" t="n">
        <f aca="false">IF(AE$3=Assumptions!$F$10,Assumptions!$F$44,0)</f>
        <v>0</v>
      </c>
      <c r="AF47" s="28" t="n">
        <f aca="false">IF(AF$3=Assumptions!$F$10,Assumptions!$F$44,0)</f>
        <v>0</v>
      </c>
      <c r="AG47" s="28" t="n">
        <f aca="false">IF(AG$3=Assumptions!$F$10,Assumptions!$F$44,0)</f>
        <v>0</v>
      </c>
      <c r="AH47" s="28" t="n">
        <f aca="false">IF(AH$3=Assumptions!$F$10,Assumptions!$F$44,0)</f>
        <v>0</v>
      </c>
      <c r="AI47" s="28" t="n">
        <f aca="false">IF(AI$3=Assumptions!$F$10,Assumptions!$F$44,0)</f>
        <v>0</v>
      </c>
      <c r="AJ47" s="28" t="n">
        <f aca="false">IF(AJ$3=Assumptions!$F$10,Assumptions!$F$44,0)</f>
        <v>0</v>
      </c>
      <c r="AK47" s="28" t="n">
        <f aca="false">IF(AK$3=Assumptions!$F$10,Assumptions!$F$44,0)</f>
        <v>0</v>
      </c>
      <c r="AL47" s="28" t="n">
        <f aca="false">IF(AL$3=Assumptions!$F$10,Assumptions!$F$44,0)</f>
        <v>0</v>
      </c>
      <c r="AM47" s="28" t="n">
        <f aca="false">IF(AM$3=Assumptions!$F$10,Assumptions!$F$44,0)</f>
        <v>0</v>
      </c>
      <c r="AN47" s="28" t="n">
        <f aca="false">IF(AN$3=Assumptions!$F$10,Assumptions!$F$44,0)</f>
        <v>0</v>
      </c>
      <c r="AO47" s="28" t="n">
        <f aca="false">IF(AO$3=Assumptions!$F$10,Assumptions!$F$44,0)</f>
        <v>0</v>
      </c>
      <c r="AP47" s="28" t="n">
        <f aca="false">IF(AP$3=Assumptions!$F$10,Assumptions!$F$44,0)</f>
        <v>0</v>
      </c>
      <c r="AQ47" s="28" t="n">
        <f aca="false">IF(AQ$3=Assumptions!$F$10,Assumptions!$F$44,0)</f>
        <v>0</v>
      </c>
      <c r="AR47" s="28" t="n">
        <f aca="false">IF(AR$3=Assumptions!$F$10,Assumptions!$F$44,0)</f>
        <v>0</v>
      </c>
      <c r="AS47" s="28" t="n">
        <f aca="false">IF(AS$3=Assumptions!$F$10,Assumptions!$F$44,0)</f>
        <v>0</v>
      </c>
      <c r="AT47" s="28" t="n">
        <f aca="false">IF(AT$3=Assumptions!$F$10,Assumptions!$F$44,0)</f>
        <v>0</v>
      </c>
      <c r="AU47" s="28" t="n">
        <f aca="false">IF(AU$3=Assumptions!$F$10,Assumptions!$F$44,0)</f>
        <v>0</v>
      </c>
      <c r="AV47" s="28" t="n">
        <f aca="false">IF(AV$3=Assumptions!$F$10,Assumptions!$F$44,0)</f>
        <v>0</v>
      </c>
      <c r="AW47" s="28" t="n">
        <f aca="false">IF(AW$3=Assumptions!$F$10,Assumptions!$F$44,0)</f>
        <v>0</v>
      </c>
      <c r="AX47" s="28" t="n">
        <f aca="false">IF(AX$3=Assumptions!$F$10,Assumptions!$F$44,0)</f>
        <v>0</v>
      </c>
      <c r="AY47" s="28" t="n">
        <f aca="false">IF(AY$3=Assumptions!$F$10,Assumptions!$F$44,0)</f>
        <v>0</v>
      </c>
      <c r="AZ47" s="28" t="n">
        <f aca="false">IF(AZ$3=Assumptions!$F$10,Assumptions!$F$44,0)</f>
        <v>0</v>
      </c>
      <c r="BA47" s="28" t="n">
        <f aca="false">IF(BA$3=Assumptions!$F$10,Assumptions!$F$44,0)</f>
        <v>0</v>
      </c>
      <c r="BB47" s="28" t="n">
        <f aca="false">IF(BB$3=Assumptions!$F$10,Assumptions!$F$44,0)</f>
        <v>0</v>
      </c>
      <c r="BC47" s="28" t="n">
        <f aca="false">IF(BC$3=Assumptions!$F$10,Assumptions!$F$44,0)</f>
        <v>0</v>
      </c>
      <c r="BD47" s="28" t="n">
        <f aca="false">IF(BD$3=Assumptions!$F$10,Assumptions!$F$44,0)</f>
        <v>0</v>
      </c>
      <c r="BE47" s="28" t="n">
        <f aca="false">IF(BE$3=Assumptions!$F$10,Assumptions!$F$44,0)</f>
        <v>0</v>
      </c>
      <c r="BF47" s="28" t="n">
        <f aca="false">IF(BF$3=Assumptions!$F$10,Assumptions!$F$44,0)</f>
        <v>0</v>
      </c>
      <c r="BG47" s="28" t="n">
        <f aca="false">IF(BG$3=Assumptions!$F$10,Assumptions!$F$44,0)</f>
        <v>0</v>
      </c>
      <c r="BH47" s="28" t="n">
        <f aca="false">IF(BH$3=Assumptions!$F$10,Assumptions!$F$44,0)</f>
        <v>0</v>
      </c>
      <c r="BI47" s="28" t="n">
        <f aca="false">IF(BI$3=Assumptions!$F$10,Assumptions!$F$44,0)</f>
        <v>0</v>
      </c>
      <c r="BJ47" s="28" t="n">
        <f aca="false">IF(BJ$3=Assumptions!$F$10,Assumptions!$F$44,0)</f>
        <v>0</v>
      </c>
    </row>
    <row r="48" customFormat="false" ht="15" hidden="false" customHeight="false" outlineLevel="0" collapsed="false">
      <c r="A48" s="15" t="s">
        <v>187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</row>
    <row r="49" customFormat="false" ht="15" hidden="false" customHeight="false" outlineLevel="0" collapsed="false">
      <c r="A49" s="7" t="s">
        <v>188</v>
      </c>
      <c r="B49" s="4"/>
      <c r="C49" s="20" t="n">
        <f aca="false">C36-C40-C44+C25</f>
        <v>0</v>
      </c>
      <c r="D49" s="20" t="n">
        <f aca="false">D36-D40-D44+D25</f>
        <v>-3000</v>
      </c>
      <c r="E49" s="20" t="n">
        <f aca="false">E36-E40-E44+E25</f>
        <v>0</v>
      </c>
      <c r="F49" s="20" t="n">
        <f aca="false">F36-F40-F44+F25</f>
        <v>-16295.8333333333</v>
      </c>
      <c r="G49" s="20" t="n">
        <f aca="false">G36-G40-G44+G25</f>
        <v>-45495.8333333333</v>
      </c>
      <c r="H49" s="20" t="n">
        <f aca="false">H36-H40-H44+H25</f>
        <v>139904.166666667</v>
      </c>
      <c r="I49" s="20" t="n">
        <f aca="false">I36-I40-I44+I25</f>
        <v>-16208.9419154006</v>
      </c>
      <c r="J49" s="20" t="n">
        <f aca="false">J36-J40-J44+J25</f>
        <v>-102320.457488139</v>
      </c>
      <c r="K49" s="20" t="n">
        <f aca="false">K36-K40-K44+K25</f>
        <v>140169.649153622</v>
      </c>
      <c r="L49" s="20" t="n">
        <f aca="false">L36-L40-L44+L25</f>
        <v>-15938.5922495177</v>
      </c>
      <c r="M49" s="20" t="n">
        <f aca="false">M36-M40-M44+M25</f>
        <v>-102045.151411715</v>
      </c>
      <c r="N49" s="20" t="n">
        <f aca="false">N36-N40-N44+N25</f>
        <v>140450.002508114</v>
      </c>
      <c r="O49" s="20" t="n">
        <f aca="false">O36-O40-O44+O25</f>
        <v>-17048.5990835268</v>
      </c>
      <c r="P49" s="20" t="n">
        <f aca="false">P36-P40-P44+P25</f>
        <v>-115733.924204348</v>
      </c>
      <c r="Q49" s="20" t="n">
        <f aca="false">Q36-Q40-Q44+Q25</f>
        <v>158094.559714283</v>
      </c>
      <c r="R49" s="20" t="n">
        <f aca="false">R36-R40-R44+R25</f>
        <v>-16747.1141619112</v>
      </c>
      <c r="S49" s="20" t="n">
        <f aca="false">S36-S40-S44+S25</f>
        <v>-113186.912059169</v>
      </c>
      <c r="T49" s="20" t="n">
        <f aca="false">T36-T40-T44+T25</f>
        <v>158407.200415457</v>
      </c>
      <c r="U49" s="20" t="n">
        <f aca="false">U36-U40-U44+U25</f>
        <v>-16428.7417145495</v>
      </c>
      <c r="V49" s="20" t="n">
        <f aca="false">V36-V40-V44+V25</f>
        <v>-112862.702783606</v>
      </c>
      <c r="W49" s="20" t="n">
        <f aca="false">W36-W40-W44+W25</f>
        <v>158737.353527739</v>
      </c>
      <c r="X49" s="20" t="n">
        <f aca="false">X36-X40-X44+X25</f>
        <v>-16092.535795209</v>
      </c>
      <c r="Y49" s="20" t="n">
        <f aca="false">Y36-Y40-Y44+Y25</f>
        <v>-112520.333089077</v>
      </c>
      <c r="Z49" s="20" t="n">
        <f aca="false">Z36-Z40-Z44+Z25</f>
        <v>159086</v>
      </c>
      <c r="AA49" s="20" t="n">
        <f aca="false">AA36-AA40-AA44+AA25</f>
        <v>-17420.96</v>
      </c>
      <c r="AB49" s="20" t="n">
        <f aca="false">AB36-AB40-AB44+AB25</f>
        <v>-128059.04</v>
      </c>
      <c r="AC49" s="20" t="n">
        <f aca="false">AC36-AC40-AC44+AC25</f>
        <v>178516.32</v>
      </c>
      <c r="AD49" s="20" t="n">
        <f aca="false">AD36-AD40-AD44+AD25</f>
        <v>-17420.96</v>
      </c>
      <c r="AE49" s="20" t="n">
        <f aca="false">AE36-AE40-AE44+AE25</f>
        <v>-125550.24</v>
      </c>
      <c r="AF49" s="20" t="n">
        <f aca="false">AF36-AF40-AF44+AF25</f>
        <v>178516.32</v>
      </c>
      <c r="AG49" s="20" t="n">
        <f aca="false">AG36-AG40-AG44+AG25</f>
        <v>-17420.96</v>
      </c>
      <c r="AH49" s="20" t="n">
        <f aca="false">AH36-AH40-AH44+AH25</f>
        <v>-125550.24</v>
      </c>
      <c r="AI49" s="20" t="n">
        <f aca="false">AI36-AI40-AI44+AI25</f>
        <v>178516.32</v>
      </c>
      <c r="AJ49" s="20" t="n">
        <f aca="false">AJ36-AJ40-AJ44+AJ25</f>
        <v>-17420.96</v>
      </c>
      <c r="AK49" s="20" t="n">
        <f aca="false">AK36-AK40-AK44+AK25</f>
        <v>-125550.24</v>
      </c>
      <c r="AL49" s="20" t="n">
        <f aca="false">AL36-AL40-AL44+AL25</f>
        <v>178516.32</v>
      </c>
      <c r="AM49" s="20" t="n">
        <f aca="false">AM36-AM40-AM44+AM25</f>
        <v>-19171.4752</v>
      </c>
      <c r="AN49" s="20" t="n">
        <f aca="false">AN36-AN40-AN44+AN25</f>
        <v>-143086.1248</v>
      </c>
      <c r="AO49" s="20" t="n">
        <f aca="false">AO36-AO40-AO44+AO25</f>
        <v>200278.2784</v>
      </c>
      <c r="AP49" s="20" t="n">
        <f aca="false">AP36-AP40-AP44+AP25</f>
        <v>-19171.4752</v>
      </c>
      <c r="AQ49" s="20" t="n">
        <f aca="false">AQ36-AQ40-AQ44+AQ25</f>
        <v>-140276.2688</v>
      </c>
      <c r="AR49" s="20" t="n">
        <f aca="false">AR36-AR40-AR44+AR25</f>
        <v>200278.2784</v>
      </c>
      <c r="AS49" s="20" t="n">
        <f aca="false">AS36-AS40-AS44+AS25</f>
        <v>-19171.4752</v>
      </c>
      <c r="AT49" s="20" t="n">
        <f aca="false">AT36-AT40-AT44+AT25</f>
        <v>-140276.2688</v>
      </c>
      <c r="AU49" s="20" t="n">
        <f aca="false">AU36-AU40-AU44+AU25</f>
        <v>200278.2784</v>
      </c>
      <c r="AV49" s="20" t="n">
        <f aca="false">AV36-AV40-AV44+AV25</f>
        <v>-19171.4752</v>
      </c>
      <c r="AW49" s="20" t="n">
        <f aca="false">AW36-AW40-AW44+AW25</f>
        <v>-140276.2688</v>
      </c>
      <c r="AX49" s="20" t="n">
        <f aca="false">AX36-AX40-AX44+AX25</f>
        <v>200278.2784</v>
      </c>
      <c r="AY49" s="20" t="n">
        <f aca="false">AY36-AY40-AY44+AY25</f>
        <v>-21132.052224</v>
      </c>
      <c r="AZ49" s="20" t="n">
        <f aca="false">AZ36-AZ40-AZ44+AZ25</f>
        <v>-159916.459776</v>
      </c>
      <c r="BA49" s="20" t="n">
        <f aca="false">BA36-BA40-BA44+BA25</f>
        <v>224651.671808</v>
      </c>
      <c r="BB49" s="20" t="n">
        <f aca="false">BB36-BB40-BB44+BB25</f>
        <v>-21132.052224</v>
      </c>
      <c r="BC49" s="20" t="n">
        <f aca="false">BC36-BC40-BC44+BC25</f>
        <v>-156769.421056</v>
      </c>
      <c r="BD49" s="20" t="n">
        <f aca="false">BD36-BD40-BD44+BD25</f>
        <v>224651.671808</v>
      </c>
      <c r="BE49" s="20" t="n">
        <f aca="false">BE36-BE40-BE44+BE25</f>
        <v>-21132.052224</v>
      </c>
      <c r="BF49" s="20" t="n">
        <f aca="false">BF36-BF40-BF44+BF25</f>
        <v>-156769.421056</v>
      </c>
      <c r="BG49" s="20" t="n">
        <f aca="false">BG36-BG40-BG44+BG25</f>
        <v>224651.671808</v>
      </c>
      <c r="BH49" s="20" t="n">
        <f aca="false">BH36-BH40-BH44+BH25</f>
        <v>-21132.052224</v>
      </c>
      <c r="BI49" s="20" t="n">
        <f aca="false">BI36-BI40-BI44+BI25</f>
        <v>-156769.421056</v>
      </c>
      <c r="BJ49" s="20" t="n">
        <f aca="false">BJ36-BJ40-BJ44+BJ25</f>
        <v>224651.671808</v>
      </c>
    </row>
    <row r="50" customFormat="false" ht="15" hidden="false" customHeight="false" outlineLevel="0" collapsed="false">
      <c r="A50" s="4" t="s">
        <v>189</v>
      </c>
      <c r="B50" s="4"/>
      <c r="C50" s="28" t="n">
        <f aca="false">IF(AND(C$3&gt;12,MOD(C$3,12)=1),MAX(0,SUMIF($C$4:$BJ$4,C$4-1,$C$49:$BJ$49))*Assumptions!$F$51,0)</f>
        <v>0</v>
      </c>
      <c r="D50" s="28" t="n">
        <f aca="false">IF(AND(D$3&gt;12,MOD(D$3,12)=1),MAX(0,SUMIF($C$4:$BJ$4,D$4-1,$C$49:$BJ$49))*Assumptions!$F$51,0)</f>
        <v>0</v>
      </c>
      <c r="E50" s="28" t="n">
        <f aca="false">IF(AND(E$3&gt;12,MOD(E$3,12)=1),MAX(0,SUMIF($C$4:$BJ$4,E$4-1,$C$49:$BJ$49))*Assumptions!$F$51,0)</f>
        <v>0</v>
      </c>
      <c r="F50" s="28" t="n">
        <f aca="false">IF(AND(F$3&gt;12,MOD(F$3,12)=1),MAX(0,SUMIF($C$4:$BJ$4,F$4-1,$C$49:$BJ$49))*Assumptions!$F$51,0)</f>
        <v>0</v>
      </c>
      <c r="G50" s="28" t="n">
        <f aca="false">IF(AND(G$3&gt;12,MOD(G$3,12)=1),MAX(0,SUMIF($C$4:$BJ$4,G$4-1,$C$49:$BJ$49))*Assumptions!$F$51,0)</f>
        <v>0</v>
      </c>
      <c r="H50" s="28" t="n">
        <f aca="false">IF(AND(H$3&gt;12,MOD(H$3,12)=1),MAX(0,SUMIF($C$4:$BJ$4,H$4-1,$C$49:$BJ$49))*Assumptions!$F$51,0)</f>
        <v>0</v>
      </c>
      <c r="I50" s="28" t="n">
        <f aca="false">IF(AND(I$3&gt;12,MOD(I$3,12)=1),MAX(0,SUMIF($C$4:$BJ$4,I$4-1,$C$49:$BJ$49))*Assumptions!$F$51,0)</f>
        <v>0</v>
      </c>
      <c r="J50" s="28" t="n">
        <f aca="false">IF(AND(J$3&gt;12,MOD(J$3,12)=1),MAX(0,SUMIF($C$4:$BJ$4,J$4-1,$C$49:$BJ$49))*Assumptions!$F$51,0)</f>
        <v>0</v>
      </c>
      <c r="K50" s="28" t="n">
        <f aca="false">IF(AND(K$3&gt;12,MOD(K$3,12)=1),MAX(0,SUMIF($C$4:$BJ$4,K$4-1,$C$49:$BJ$49))*Assumptions!$F$51,0)</f>
        <v>0</v>
      </c>
      <c r="L50" s="28" t="n">
        <f aca="false">IF(AND(L$3&gt;12,MOD(L$3,12)=1),MAX(0,SUMIF($C$4:$BJ$4,L$4-1,$C$49:$BJ$49))*Assumptions!$F$51,0)</f>
        <v>0</v>
      </c>
      <c r="M50" s="28" t="n">
        <f aca="false">IF(AND(M$3&gt;12,MOD(M$3,12)=1),MAX(0,SUMIF($C$4:$BJ$4,M$4-1,$C$49:$BJ$49))*Assumptions!$F$51,0)</f>
        <v>0</v>
      </c>
      <c r="N50" s="28" t="n">
        <f aca="false">IF(AND(N$3&gt;12,MOD(N$3,12)=1),MAX(0,SUMIF($C$4:$BJ$4,N$4-1,$C$49:$BJ$49))*Assumptions!$F$51,0)</f>
        <v>0</v>
      </c>
      <c r="O50" s="28" t="n">
        <f aca="false">IF(AND(O$3&gt;12,MOD(O$3,12)=1),MAX(0,SUMIF($C$4:$BJ$4,O$4-1,$C$49:$BJ$49))*Assumptions!$F$51,0)</f>
        <v>11921.9008596964</v>
      </c>
      <c r="P50" s="28" t="n">
        <f aca="false">IF(AND(P$3&gt;12,MOD(P$3,12)=1),MAX(0,SUMIF($C$4:$BJ$4,P$4-1,$C$49:$BJ$49))*Assumptions!$F$51,0)</f>
        <v>0</v>
      </c>
      <c r="Q50" s="28" t="n">
        <f aca="false">IF(AND(Q$3&gt;12,MOD(Q$3,12)=1),MAX(0,SUMIF($C$4:$BJ$4,Q$4-1,$C$49:$BJ$49))*Assumptions!$F$51,0)</f>
        <v>0</v>
      </c>
      <c r="R50" s="28" t="n">
        <f aca="false">IF(AND(R$3&gt;12,MOD(R$3,12)=1),MAX(0,SUMIF($C$4:$BJ$4,R$4-1,$C$49:$BJ$49))*Assumptions!$F$51,0)</f>
        <v>0</v>
      </c>
      <c r="S50" s="28" t="n">
        <f aca="false">IF(AND(S$3&gt;12,MOD(S$3,12)=1),MAX(0,SUMIF($C$4:$BJ$4,S$4-1,$C$49:$BJ$49))*Assumptions!$F$51,0)</f>
        <v>0</v>
      </c>
      <c r="T50" s="28" t="n">
        <f aca="false">IF(AND(T$3&gt;12,MOD(T$3,12)=1),MAX(0,SUMIF($C$4:$BJ$4,T$4-1,$C$49:$BJ$49))*Assumptions!$F$51,0)</f>
        <v>0</v>
      </c>
      <c r="U50" s="28" t="n">
        <f aca="false">IF(AND(U$3&gt;12,MOD(U$3,12)=1),MAX(0,SUMIF($C$4:$BJ$4,U$4-1,$C$49:$BJ$49))*Assumptions!$F$51,0)</f>
        <v>0</v>
      </c>
      <c r="V50" s="28" t="n">
        <f aca="false">IF(AND(V$3&gt;12,MOD(V$3,12)=1),MAX(0,SUMIF($C$4:$BJ$4,V$4-1,$C$49:$BJ$49))*Assumptions!$F$51,0)</f>
        <v>0</v>
      </c>
      <c r="W50" s="28" t="n">
        <f aca="false">IF(AND(W$3&gt;12,MOD(W$3,12)=1),MAX(0,SUMIF($C$4:$BJ$4,W$4-1,$C$49:$BJ$49))*Assumptions!$F$51,0)</f>
        <v>0</v>
      </c>
      <c r="X50" s="28" t="n">
        <f aca="false">IF(AND(X$3&gt;12,MOD(X$3,12)=1),MAX(0,SUMIF($C$4:$BJ$4,X$4-1,$C$49:$BJ$49))*Assumptions!$F$51,0)</f>
        <v>0</v>
      </c>
      <c r="Y50" s="28" t="n">
        <f aca="false">IF(AND(Y$3&gt;12,MOD(Y$3,12)=1),MAX(0,SUMIF($C$4:$BJ$4,Y$4-1,$C$49:$BJ$49))*Assumptions!$F$51,0)</f>
        <v>0</v>
      </c>
      <c r="Z50" s="28" t="n">
        <f aca="false">IF(AND(Z$3&gt;12,MOD(Z$3,12)=1),MAX(0,SUMIF($C$4:$BJ$4,Z$4-1,$C$49:$BJ$49))*Assumptions!$F$51,0)</f>
        <v>0</v>
      </c>
      <c r="AA50" s="28" t="n">
        <f aca="false">IF(AND(AA$3&gt;12,MOD(AA$3,12)=1),MAX(0,SUMIF($C$4:$BJ$4,AA$4-1,$C$49:$BJ$49))*Assumptions!$F$51,0)</f>
        <v>11370.4250766082</v>
      </c>
      <c r="AB50" s="28" t="n">
        <f aca="false">IF(AND(AB$3&gt;12,MOD(AB$3,12)=1),MAX(0,SUMIF($C$4:$BJ$4,AB$4-1,$C$49:$BJ$49))*Assumptions!$F$51,0)</f>
        <v>0</v>
      </c>
      <c r="AC50" s="28" t="n">
        <f aca="false">IF(AND(AC$3&gt;12,MOD(AC$3,12)=1),MAX(0,SUMIF($C$4:$BJ$4,AC$4-1,$C$49:$BJ$49))*Assumptions!$F$51,0)</f>
        <v>0</v>
      </c>
      <c r="AD50" s="28" t="n">
        <f aca="false">IF(AND(AD$3&gt;12,MOD(AD$3,12)=1),MAX(0,SUMIF($C$4:$BJ$4,AD$4-1,$C$49:$BJ$49))*Assumptions!$F$51,0)</f>
        <v>0</v>
      </c>
      <c r="AE50" s="28" t="n">
        <f aca="false">IF(AND(AE$3&gt;12,MOD(AE$3,12)=1),MAX(0,SUMIF($C$4:$BJ$4,AE$4-1,$C$49:$BJ$49))*Assumptions!$F$51,0)</f>
        <v>0</v>
      </c>
      <c r="AF50" s="28" t="n">
        <f aca="false">IF(AND(AF$3&gt;12,MOD(AF$3,12)=1),MAX(0,SUMIF($C$4:$BJ$4,AF$4-1,$C$49:$BJ$49))*Assumptions!$F$51,0)</f>
        <v>0</v>
      </c>
      <c r="AG50" s="28" t="n">
        <f aca="false">IF(AND(AG$3&gt;12,MOD(AG$3,12)=1),MAX(0,SUMIF($C$4:$BJ$4,AG$4-1,$C$49:$BJ$49))*Assumptions!$F$51,0)</f>
        <v>0</v>
      </c>
      <c r="AH50" s="28" t="n">
        <f aca="false">IF(AND(AH$3&gt;12,MOD(AH$3,12)=1),MAX(0,SUMIF($C$4:$BJ$4,AH$4-1,$C$49:$BJ$49))*Assumptions!$F$51,0)</f>
        <v>0</v>
      </c>
      <c r="AI50" s="28" t="n">
        <f aca="false">IF(AND(AI$3&gt;12,MOD(AI$3,12)=1),MAX(0,SUMIF($C$4:$BJ$4,AI$4-1,$C$49:$BJ$49))*Assumptions!$F$51,0)</f>
        <v>0</v>
      </c>
      <c r="AJ50" s="28" t="n">
        <f aca="false">IF(AND(AJ$3&gt;12,MOD(AJ$3,12)=1),MAX(0,SUMIF($C$4:$BJ$4,AJ$4-1,$C$49:$BJ$49))*Assumptions!$F$51,0)</f>
        <v>0</v>
      </c>
      <c r="AK50" s="28" t="n">
        <f aca="false">IF(AND(AK$3&gt;12,MOD(AK$3,12)=1),MAX(0,SUMIF($C$4:$BJ$4,AK$4-1,$C$49:$BJ$49))*Assumptions!$F$51,0)</f>
        <v>0</v>
      </c>
      <c r="AL50" s="28" t="n">
        <f aca="false">IF(AND(AL$3&gt;12,MOD(AL$3,12)=1),MAX(0,SUMIF($C$4:$BJ$4,AL$4-1,$C$49:$BJ$49))*Assumptions!$F$51,0)</f>
        <v>0</v>
      </c>
      <c r="AM50" s="28" t="n">
        <f aca="false">IF(AND(AM$3&gt;12,MOD(AM$3,12)=1),MAX(0,SUMIF($C$4:$BJ$4,AM$4-1,$C$49:$BJ$49))*Assumptions!$F$51,0)</f>
        <v>13967.168</v>
      </c>
      <c r="AN50" s="28" t="n">
        <f aca="false">IF(AND(AN$3&gt;12,MOD(AN$3,12)=1),MAX(0,SUMIF($C$4:$BJ$4,AN$4-1,$C$49:$BJ$49))*Assumptions!$F$51,0)</f>
        <v>0</v>
      </c>
      <c r="AO50" s="28" t="n">
        <f aca="false">IF(AND(AO$3&gt;12,MOD(AO$3,12)=1),MAX(0,SUMIF($C$4:$BJ$4,AO$4-1,$C$49:$BJ$49))*Assumptions!$F$51,0)</f>
        <v>0</v>
      </c>
      <c r="AP50" s="28" t="n">
        <f aca="false">IF(AND(AP$3&gt;12,MOD(AP$3,12)=1),MAX(0,SUMIF($C$4:$BJ$4,AP$4-1,$C$49:$BJ$49))*Assumptions!$F$51,0)</f>
        <v>0</v>
      </c>
      <c r="AQ50" s="28" t="n">
        <f aca="false">IF(AND(AQ$3&gt;12,MOD(AQ$3,12)=1),MAX(0,SUMIF($C$4:$BJ$4,AQ$4-1,$C$49:$BJ$49))*Assumptions!$F$51,0)</f>
        <v>0</v>
      </c>
      <c r="AR50" s="28" t="n">
        <f aca="false">IF(AND(AR$3&gt;12,MOD(AR$3,12)=1),MAX(0,SUMIF($C$4:$BJ$4,AR$4-1,$C$49:$BJ$49))*Assumptions!$F$51,0)</f>
        <v>0</v>
      </c>
      <c r="AS50" s="28" t="n">
        <f aca="false">IF(AND(AS$3&gt;12,MOD(AS$3,12)=1),MAX(0,SUMIF($C$4:$BJ$4,AS$4-1,$C$49:$BJ$49))*Assumptions!$F$51,0)</f>
        <v>0</v>
      </c>
      <c r="AT50" s="28" t="n">
        <f aca="false">IF(AND(AT$3&gt;12,MOD(AT$3,12)=1),MAX(0,SUMIF($C$4:$BJ$4,AT$4-1,$C$49:$BJ$49))*Assumptions!$F$51,0)</f>
        <v>0</v>
      </c>
      <c r="AU50" s="28" t="n">
        <f aca="false">IF(AND(AU$3&gt;12,MOD(AU$3,12)=1),MAX(0,SUMIF($C$4:$BJ$4,AU$4-1,$C$49:$BJ$49))*Assumptions!$F$51,0)</f>
        <v>0</v>
      </c>
      <c r="AV50" s="28" t="n">
        <f aca="false">IF(AND(AV$3&gt;12,MOD(AV$3,12)=1),MAX(0,SUMIF($C$4:$BJ$4,AV$4-1,$C$49:$BJ$49))*Assumptions!$F$51,0)</f>
        <v>0</v>
      </c>
      <c r="AW50" s="28" t="n">
        <f aca="false">IF(AND(AW$3&gt;12,MOD(AW$3,12)=1),MAX(0,SUMIF($C$4:$BJ$4,AW$4-1,$C$49:$BJ$49))*Assumptions!$F$51,0)</f>
        <v>0</v>
      </c>
      <c r="AX50" s="28" t="n">
        <f aca="false">IF(AND(AX$3&gt;12,MOD(AX$3,12)=1),MAX(0,SUMIF($C$4:$BJ$4,AX$4-1,$C$49:$BJ$49))*Assumptions!$F$51,0)</f>
        <v>0</v>
      </c>
      <c r="AY50" s="28" t="n">
        <f aca="false">IF(AND(AY$3&gt;12,MOD(AY$3,12)=1),MAX(0,SUMIF($C$4:$BJ$4,AY$4-1,$C$49:$BJ$49))*Assumptions!$F$51,0)</f>
        <v>16051.22816</v>
      </c>
      <c r="AZ50" s="28" t="n">
        <f aca="false">IF(AND(AZ$3&gt;12,MOD(AZ$3,12)=1),MAX(0,SUMIF($C$4:$BJ$4,AZ$4-1,$C$49:$BJ$49))*Assumptions!$F$51,0)</f>
        <v>0</v>
      </c>
      <c r="BA50" s="28" t="n">
        <f aca="false">IF(AND(BA$3&gt;12,MOD(BA$3,12)=1),MAX(0,SUMIF($C$4:$BJ$4,BA$4-1,$C$49:$BJ$49))*Assumptions!$F$51,0)</f>
        <v>0</v>
      </c>
      <c r="BB50" s="28" t="n">
        <f aca="false">IF(AND(BB$3&gt;12,MOD(BB$3,12)=1),MAX(0,SUMIF($C$4:$BJ$4,BB$4-1,$C$49:$BJ$49))*Assumptions!$F$51,0)</f>
        <v>0</v>
      </c>
      <c r="BC50" s="28" t="n">
        <f aca="false">IF(AND(BC$3&gt;12,MOD(BC$3,12)=1),MAX(0,SUMIF($C$4:$BJ$4,BC$4-1,$C$49:$BJ$49))*Assumptions!$F$51,0)</f>
        <v>0</v>
      </c>
      <c r="BD50" s="28" t="n">
        <f aca="false">IF(AND(BD$3&gt;12,MOD(BD$3,12)=1),MAX(0,SUMIF($C$4:$BJ$4,BD$4-1,$C$49:$BJ$49))*Assumptions!$F$51,0)</f>
        <v>0</v>
      </c>
      <c r="BE50" s="28" t="n">
        <f aca="false">IF(AND(BE$3&gt;12,MOD(BE$3,12)=1),MAX(0,SUMIF($C$4:$BJ$4,BE$4-1,$C$49:$BJ$49))*Assumptions!$F$51,0)</f>
        <v>0</v>
      </c>
      <c r="BF50" s="28" t="n">
        <f aca="false">IF(AND(BF$3&gt;12,MOD(BF$3,12)=1),MAX(0,SUMIF($C$4:$BJ$4,BF$4-1,$C$49:$BJ$49))*Assumptions!$F$51,0)</f>
        <v>0</v>
      </c>
      <c r="BG50" s="28" t="n">
        <f aca="false">IF(AND(BG$3&gt;12,MOD(BG$3,12)=1),MAX(0,SUMIF($C$4:$BJ$4,BG$4-1,$C$49:$BJ$49))*Assumptions!$F$51,0)</f>
        <v>0</v>
      </c>
      <c r="BH50" s="28" t="n">
        <f aca="false">IF(AND(BH$3&gt;12,MOD(BH$3,12)=1),MAX(0,SUMIF($C$4:$BJ$4,BH$4-1,$C$49:$BJ$49))*Assumptions!$F$51,0)</f>
        <v>0</v>
      </c>
      <c r="BI50" s="28" t="n">
        <f aca="false">IF(AND(BI$3&gt;12,MOD(BI$3,12)=1),MAX(0,SUMIF($C$4:$BJ$4,BI$4-1,$C$49:$BJ$49))*Assumptions!$F$51,0)</f>
        <v>0</v>
      </c>
      <c r="BJ50" s="28" t="n">
        <f aca="false">IF(AND(BJ$3&gt;12,MOD(BJ$3,12)=1),MAX(0,SUMIF($C$4:$BJ$4,BJ$4-1,$C$49:$BJ$49))*Assumptions!$F$51,0)</f>
        <v>0</v>
      </c>
    </row>
    <row r="51" customFormat="false" ht="15" hidden="false" customHeight="false" outlineLevel="0" collapsed="false">
      <c r="A51" s="15" t="s">
        <v>190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</row>
    <row r="52" customFormat="false" ht="15" hidden="false" customHeight="false" outlineLevel="0" collapsed="false">
      <c r="A52" s="7" t="s">
        <v>191</v>
      </c>
      <c r="B52" s="4"/>
      <c r="C52" s="20" t="n">
        <f aca="false">C15-C26-C34-C44-C50</f>
        <v>0</v>
      </c>
      <c r="D52" s="20" t="n">
        <f aca="false">D15-D26-D34-D44-D50</f>
        <v>-3000</v>
      </c>
      <c r="E52" s="20" t="n">
        <f aca="false">E15-E26-E34-E44-E50</f>
        <v>0</v>
      </c>
      <c r="F52" s="20" t="n">
        <f aca="false">F15-F26-F34-F44-F50</f>
        <v>-13462.5</v>
      </c>
      <c r="G52" s="20" t="n">
        <f aca="false">G15-G26-G34-G44-G50</f>
        <v>-42662.5</v>
      </c>
      <c r="H52" s="20" t="n">
        <f aca="false">H15-H26-H34-H44-H50</f>
        <v>61737.5</v>
      </c>
      <c r="I52" s="20" t="n">
        <f aca="false">I15-I26-I34-I44-I50</f>
        <v>67624.3914179327</v>
      </c>
      <c r="J52" s="20" t="n">
        <f aca="false">J15-J26-J34-J44-J50</f>
        <v>-99487.1241548058</v>
      </c>
      <c r="K52" s="20" t="n">
        <f aca="false">K15-K26-K34-K44-K50</f>
        <v>62002.9824869554</v>
      </c>
      <c r="L52" s="20" t="n">
        <f aca="false">L15-L26-L34-L44-L50</f>
        <v>67894.7410838156</v>
      </c>
      <c r="M52" s="20" t="n">
        <f aca="false">M15-M26-M34-M44-M50</f>
        <v>-99211.8180783817</v>
      </c>
      <c r="N52" s="20" t="n">
        <f aca="false">N15-N26-N34-N44-N50</f>
        <v>62283.3358414473</v>
      </c>
      <c r="O52" s="20" t="n">
        <f aca="false">O15-O26-O34-O44-O50</f>
        <v>54862.8333901102</v>
      </c>
      <c r="P52" s="20" t="n">
        <f aca="false">P15-P26-P34-P44-P50</f>
        <v>-112900.590871014</v>
      </c>
      <c r="Q52" s="20" t="n">
        <f aca="false">Q15-Q26-Q34-Q44-Q50</f>
        <v>70207.8930476165</v>
      </c>
      <c r="R52" s="20" t="n">
        <f aca="false">R15-R26-R34-R44-R50</f>
        <v>76806.2191714222</v>
      </c>
      <c r="S52" s="20" t="n">
        <f aca="false">S15-S26-S34-S44-S50</f>
        <v>-110353.578725836</v>
      </c>
      <c r="T52" s="20" t="n">
        <f aca="false">T15-T26-T34-T44-T50</f>
        <v>70520.53374879</v>
      </c>
      <c r="U52" s="20" t="n">
        <f aca="false">U15-U26-U34-U44-U50</f>
        <v>77124.5916187838</v>
      </c>
      <c r="V52" s="20" t="n">
        <f aca="false">V15-V26-V34-V44-V50</f>
        <v>-110029.369450272</v>
      </c>
      <c r="W52" s="20" t="n">
        <f aca="false">W15-W26-W34-W44-W50</f>
        <v>70850.6868610719</v>
      </c>
      <c r="X52" s="20" t="n">
        <f aca="false">X15-X26-X34-X44-X50</f>
        <v>77460.7975381243</v>
      </c>
      <c r="Y52" s="20" t="n">
        <f aca="false">Y15-Y26-Y34-Y44-Y50</f>
        <v>-109686.999755744</v>
      </c>
      <c r="Z52" s="20" t="n">
        <f aca="false">Z15-Z26-Z34-Z44-Z50</f>
        <v>71199.3333333333</v>
      </c>
      <c r="AA52" s="20" t="n">
        <f aca="false">AA15-AA26-AA34-AA44-AA50</f>
        <v>64761.9482567251</v>
      </c>
      <c r="AB52" s="20" t="n">
        <f aca="false">AB15-AB26-AB34-AB44-AB50</f>
        <v>-125225.706666667</v>
      </c>
      <c r="AC52" s="20" t="n">
        <f aca="false">AC15-AC26-AC34-AC44-AC50</f>
        <v>79743.2533333333</v>
      </c>
      <c r="AD52" s="20" t="n">
        <f aca="false">AD15-AD26-AD34-AD44-AD50</f>
        <v>87018.7733333334</v>
      </c>
      <c r="AE52" s="20" t="n">
        <f aca="false">AE15-AE26-AE34-AE44-AE50</f>
        <v>-122716.906666667</v>
      </c>
      <c r="AF52" s="20" t="n">
        <f aca="false">AF15-AF26-AF34-AF44-AF50</f>
        <v>79743.2533333333</v>
      </c>
      <c r="AG52" s="20" t="n">
        <f aca="false">AG15-AG26-AG34-AG44-AG50</f>
        <v>87018.7733333334</v>
      </c>
      <c r="AH52" s="20" t="n">
        <f aca="false">AH15-AH26-AH34-AH44-AH50</f>
        <v>-122716.906666667</v>
      </c>
      <c r="AI52" s="20" t="n">
        <f aca="false">AI15-AI26-AI34-AI44-AI50</f>
        <v>79743.2533333333</v>
      </c>
      <c r="AJ52" s="20" t="n">
        <f aca="false">AJ15-AJ26-AJ34-AJ44-AJ50</f>
        <v>87018.7733333334</v>
      </c>
      <c r="AK52" s="20" t="n">
        <f aca="false">AK15-AK26-AK34-AK44-AK50</f>
        <v>-122716.906666667</v>
      </c>
      <c r="AL52" s="20" t="n">
        <f aca="false">AL15-AL26-AL34-AL44-AL50</f>
        <v>79743.2533333333</v>
      </c>
      <c r="AM52" s="20" t="n">
        <f aca="false">AM15-AM26-AM34-AM44-AM50</f>
        <v>71301.0901333334</v>
      </c>
      <c r="AN52" s="20" t="n">
        <f aca="false">AN15-AN26-AN34-AN44-AN50</f>
        <v>-140252.791466667</v>
      </c>
      <c r="AO52" s="20" t="n">
        <f aca="false">AO15-AO26-AO34-AO44-AO50</f>
        <v>89312.4437333334</v>
      </c>
      <c r="AP52" s="20" t="n">
        <f aca="false">AP15-AP26-AP34-AP44-AP50</f>
        <v>97461.0261333334</v>
      </c>
      <c r="AQ52" s="20" t="n">
        <f aca="false">AQ15-AQ26-AQ34-AQ44-AQ50</f>
        <v>-137442.935466667</v>
      </c>
      <c r="AR52" s="20" t="n">
        <f aca="false">AR15-AR26-AR34-AR44-AR50</f>
        <v>89312.4437333334</v>
      </c>
      <c r="AS52" s="20" t="n">
        <f aca="false">AS15-AS26-AS34-AS44-AS50</f>
        <v>97461.0261333334</v>
      </c>
      <c r="AT52" s="20" t="n">
        <f aca="false">AT15-AT26-AT34-AT44-AT50</f>
        <v>-137442.935466667</v>
      </c>
      <c r="AU52" s="20" t="n">
        <f aca="false">AU15-AU26-AU34-AU44-AU50</f>
        <v>89312.4437333334</v>
      </c>
      <c r="AV52" s="20" t="n">
        <f aca="false">AV15-AV26-AV34-AV44-AV50</f>
        <v>97461.0261333334</v>
      </c>
      <c r="AW52" s="20" t="n">
        <f aca="false">AW15-AW26-AW34-AW44-AW50</f>
        <v>-137442.935466667</v>
      </c>
      <c r="AX52" s="20" t="n">
        <f aca="false">AX15-AX26-AX34-AX44-AX50</f>
        <v>89312.4437333334</v>
      </c>
      <c r="AY52" s="20" t="n">
        <f aca="false">AY15-AY26-AY34-AY44-AY50</f>
        <v>79449.2209493334</v>
      </c>
      <c r="AZ52" s="20" t="n">
        <f aca="false">AZ15-AZ26-AZ34-AZ44-AZ50</f>
        <v>-157083.126442667</v>
      </c>
      <c r="BA52" s="20" t="n">
        <f aca="false">BA15-BA26-BA34-BA44-BA50</f>
        <v>100029.936981333</v>
      </c>
      <c r="BB52" s="20" t="n">
        <f aca="false">BB15-BB26-BB34-BB44-BB50</f>
        <v>109156.349269333</v>
      </c>
      <c r="BC52" s="20" t="n">
        <f aca="false">BC15-BC26-BC34-BC44-BC50</f>
        <v>-153936.087722667</v>
      </c>
      <c r="BD52" s="20" t="n">
        <f aca="false">BD15-BD26-BD34-BD44-BD50</f>
        <v>100029.936981333</v>
      </c>
      <c r="BE52" s="20" t="n">
        <f aca="false">BE15-BE26-BE34-BE44-BE50</f>
        <v>109156.349269333</v>
      </c>
      <c r="BF52" s="20" t="n">
        <f aca="false">BF15-BF26-BF34-BF44-BF50</f>
        <v>-153936.087722667</v>
      </c>
      <c r="BG52" s="20" t="n">
        <f aca="false">BG15-BG26-BG34-BG44-BG50</f>
        <v>100029.936981333</v>
      </c>
      <c r="BH52" s="20" t="n">
        <f aca="false">BH15-BH26-BH34-BH44-BH50</f>
        <v>109156.349269333</v>
      </c>
      <c r="BI52" s="20" t="n">
        <f aca="false">BI15-BI26-BI34-BI44-BI50</f>
        <v>-153936.087722667</v>
      </c>
      <c r="BJ52" s="20" t="n">
        <f aca="false">BJ15-BJ26-BJ34-BJ44-BJ50</f>
        <v>100029.936981333</v>
      </c>
    </row>
    <row r="53" customFormat="false" ht="15" hidden="false" customHeight="false" outlineLevel="0" collapsed="false">
      <c r="A53" s="4" t="s">
        <v>192</v>
      </c>
      <c r="B53" s="4"/>
      <c r="C53" s="28" t="n">
        <f aca="false">-(C38-C39)</f>
        <v>-0</v>
      </c>
      <c r="D53" s="28" t="n">
        <f aca="false">-(D38-D39)</f>
        <v>-0</v>
      </c>
      <c r="E53" s="28" t="n">
        <f aca="false">-(E38-E39)</f>
        <v>-30000</v>
      </c>
      <c r="F53" s="28" t="n">
        <f aca="false">-(F38-F39)</f>
        <v>-0</v>
      </c>
      <c r="G53" s="28" t="n">
        <f aca="false">-(G38-G39)</f>
        <v>-0</v>
      </c>
      <c r="H53" s="28" t="n">
        <f aca="false">-(H38-H39)</f>
        <v>-0</v>
      </c>
      <c r="I53" s="28" t="n">
        <f aca="false">-(I38-I39)</f>
        <v>-0</v>
      </c>
      <c r="J53" s="28" t="n">
        <f aca="false">-(J38-J39)</f>
        <v>-0</v>
      </c>
      <c r="K53" s="28" t="n">
        <f aca="false">-(K38-K39)</f>
        <v>-0</v>
      </c>
      <c r="L53" s="28" t="n">
        <f aca="false">-(L38-L39)</f>
        <v>-0</v>
      </c>
      <c r="M53" s="28" t="n">
        <f aca="false">-(M38-M39)</f>
        <v>-0</v>
      </c>
      <c r="N53" s="28" t="n">
        <f aca="false">-(N38-N39)</f>
        <v>-0</v>
      </c>
      <c r="O53" s="28" t="n">
        <f aca="false">-(O38-O39)</f>
        <v>-0</v>
      </c>
      <c r="P53" s="28" t="n">
        <f aca="false">-(P38-P39)</f>
        <v>-0</v>
      </c>
      <c r="Q53" s="28" t="n">
        <f aca="false">-(Q38-Q39)</f>
        <v>-0</v>
      </c>
      <c r="R53" s="28" t="n">
        <f aca="false">-(R38-R39)</f>
        <v>-0</v>
      </c>
      <c r="S53" s="28" t="n">
        <f aca="false">-(S38-S39)</f>
        <v>-0</v>
      </c>
      <c r="T53" s="28" t="n">
        <f aca="false">-(T38-T39)</f>
        <v>-0</v>
      </c>
      <c r="U53" s="28" t="n">
        <f aca="false">-(U38-U39)</f>
        <v>-0</v>
      </c>
      <c r="V53" s="28" t="n">
        <f aca="false">-(V38-V39)</f>
        <v>-0</v>
      </c>
      <c r="W53" s="28" t="n">
        <f aca="false">-(W38-W39)</f>
        <v>-0</v>
      </c>
      <c r="X53" s="28" t="n">
        <f aca="false">-(X38-X39)</f>
        <v>-0</v>
      </c>
      <c r="Y53" s="28" t="n">
        <f aca="false">-(Y38-Y39)</f>
        <v>-0</v>
      </c>
      <c r="Z53" s="28" t="n">
        <f aca="false">-(Z38-Z39)</f>
        <v>-0</v>
      </c>
      <c r="AA53" s="28" t="n">
        <f aca="false">-(AA38-AA39)</f>
        <v>-0</v>
      </c>
      <c r="AB53" s="28" t="n">
        <f aca="false">-(AB38-AB39)</f>
        <v>-0</v>
      </c>
      <c r="AC53" s="28" t="n">
        <f aca="false">-(AC38-AC39)</f>
        <v>-0</v>
      </c>
      <c r="AD53" s="28" t="n">
        <f aca="false">-(AD38-AD39)</f>
        <v>-0</v>
      </c>
      <c r="AE53" s="28" t="n">
        <f aca="false">-(AE38-AE39)</f>
        <v>-0</v>
      </c>
      <c r="AF53" s="28" t="n">
        <f aca="false">-(AF38-AF39)</f>
        <v>-0</v>
      </c>
      <c r="AG53" s="28" t="n">
        <f aca="false">-(AG38-AG39)</f>
        <v>-0</v>
      </c>
      <c r="AH53" s="28" t="n">
        <f aca="false">-(AH38-AH39)</f>
        <v>-0</v>
      </c>
      <c r="AI53" s="28" t="n">
        <f aca="false">-(AI38-AI39)</f>
        <v>-0</v>
      </c>
      <c r="AJ53" s="28" t="n">
        <f aca="false">-(AJ38-AJ39)</f>
        <v>-0</v>
      </c>
      <c r="AK53" s="28" t="n">
        <f aca="false">-(AK38-AK39)</f>
        <v>-0</v>
      </c>
      <c r="AL53" s="28" t="n">
        <f aca="false">-(AL38-AL39)</f>
        <v>-0</v>
      </c>
      <c r="AM53" s="28" t="n">
        <f aca="false">-(AM38-AM39)</f>
        <v>-0</v>
      </c>
      <c r="AN53" s="28" t="n">
        <f aca="false">-(AN38-AN39)</f>
        <v>-0</v>
      </c>
      <c r="AO53" s="28" t="n">
        <f aca="false">-(AO38-AO39)</f>
        <v>-0</v>
      </c>
      <c r="AP53" s="28" t="n">
        <f aca="false">-(AP38-AP39)</f>
        <v>-0</v>
      </c>
      <c r="AQ53" s="28" t="n">
        <f aca="false">-(AQ38-AQ39)</f>
        <v>-0</v>
      </c>
      <c r="AR53" s="28" t="n">
        <f aca="false">-(AR38-AR39)</f>
        <v>-0</v>
      </c>
      <c r="AS53" s="28" t="n">
        <f aca="false">-(AS38-AS39)</f>
        <v>-0</v>
      </c>
      <c r="AT53" s="28" t="n">
        <f aca="false">-(AT38-AT39)</f>
        <v>-0</v>
      </c>
      <c r="AU53" s="28" t="n">
        <f aca="false">-(AU38-AU39)</f>
        <v>-0</v>
      </c>
      <c r="AV53" s="28" t="n">
        <f aca="false">-(AV38-AV39)</f>
        <v>-0</v>
      </c>
      <c r="AW53" s="28" t="n">
        <f aca="false">-(AW38-AW39)</f>
        <v>-0</v>
      </c>
      <c r="AX53" s="28" t="n">
        <f aca="false">-(AX38-AX39)</f>
        <v>-0</v>
      </c>
      <c r="AY53" s="28" t="n">
        <f aca="false">-(AY38-AY39)</f>
        <v>-0</v>
      </c>
      <c r="AZ53" s="28" t="n">
        <f aca="false">-(AZ38-AZ39)</f>
        <v>-0</v>
      </c>
      <c r="BA53" s="28" t="n">
        <f aca="false">-(BA38-BA39)</f>
        <v>-0</v>
      </c>
      <c r="BB53" s="28" t="n">
        <f aca="false">-(BB38-BB39)</f>
        <v>-0</v>
      </c>
      <c r="BC53" s="28" t="n">
        <f aca="false">-(BC38-BC39)</f>
        <v>-0</v>
      </c>
      <c r="BD53" s="28" t="n">
        <f aca="false">-(BD38-BD39)</f>
        <v>-0</v>
      </c>
      <c r="BE53" s="28" t="n">
        <f aca="false">-(BE38-BE39)</f>
        <v>-0</v>
      </c>
      <c r="BF53" s="28" t="n">
        <f aca="false">-(BF38-BF39)</f>
        <v>-0</v>
      </c>
      <c r="BG53" s="28" t="n">
        <f aca="false">-(BG38-BG39)</f>
        <v>-0</v>
      </c>
      <c r="BH53" s="28" t="n">
        <f aca="false">-(BH38-BH39)</f>
        <v>-0</v>
      </c>
      <c r="BI53" s="28" t="n">
        <f aca="false">-(BI38-BI39)</f>
        <v>-0</v>
      </c>
      <c r="BJ53" s="28" t="n">
        <f aca="false">-(BJ38-BJ39)</f>
        <v>-0</v>
      </c>
    </row>
    <row r="54" customFormat="false" ht="15" hidden="false" customHeight="false" outlineLevel="0" collapsed="false">
      <c r="A54" s="4" t="s">
        <v>193</v>
      </c>
      <c r="B54" s="4"/>
      <c r="C54" s="28" t="n">
        <f aca="false">C47+C42-C45</f>
        <v>20000</v>
      </c>
      <c r="D54" s="28" t="n">
        <f aca="false">D47+D42-D45</f>
        <v>0</v>
      </c>
      <c r="E54" s="28" t="n">
        <f aca="false">E47+E42-E45</f>
        <v>100000</v>
      </c>
      <c r="F54" s="28" t="n">
        <f aca="false">F47+F42-F45</f>
        <v>0</v>
      </c>
      <c r="G54" s="28" t="n">
        <f aca="false">G47+G42-G45</f>
        <v>0</v>
      </c>
      <c r="H54" s="28" t="n">
        <f aca="false">H47+H42-H45</f>
        <v>-4739.5318872382</v>
      </c>
      <c r="I54" s="28" t="n">
        <f aca="false">I47+I42-I45</f>
        <v>-4826.4233051709</v>
      </c>
      <c r="J54" s="28" t="n">
        <f aca="false">J47+J42-J45</f>
        <v>-4914.90773243237</v>
      </c>
      <c r="K54" s="28" t="n">
        <f aca="false">K47+K42-K45</f>
        <v>-5005.01437419363</v>
      </c>
      <c r="L54" s="28" t="n">
        <f aca="false">L47+L42-L45</f>
        <v>-5096.77297105385</v>
      </c>
      <c r="M54" s="28" t="n">
        <f aca="false">M47+M42-M45</f>
        <v>-5190.2138088565</v>
      </c>
      <c r="N54" s="28" t="n">
        <f aca="false">N47+N42-N45</f>
        <v>-5285.36772868553</v>
      </c>
      <c r="O54" s="28" t="n">
        <f aca="false">O47+O42-O45</f>
        <v>-5382.26613704477</v>
      </c>
      <c r="P54" s="28" t="n">
        <f aca="false">P47+P42-P45</f>
        <v>-5480.94101622392</v>
      </c>
      <c r="Q54" s="28" t="n">
        <f aca="false">Q47+Q42-Q45</f>
        <v>-5581.4249348547</v>
      </c>
      <c r="R54" s="28" t="n">
        <f aca="false">R47+R42-R45</f>
        <v>-5683.75105866037</v>
      </c>
      <c r="S54" s="28" t="n">
        <f aca="false">S47+S42-S45</f>
        <v>-5787.95316140247</v>
      </c>
      <c r="T54" s="28" t="n">
        <f aca="false">T47+T42-T45</f>
        <v>-5894.06563602818</v>
      </c>
      <c r="U54" s="28" t="n">
        <f aca="false">U47+U42-U45</f>
        <v>-6002.12350602203</v>
      </c>
      <c r="V54" s="28" t="n">
        <f aca="false">V47+V42-V45</f>
        <v>-6112.16243696577</v>
      </c>
      <c r="W54" s="28" t="n">
        <f aca="false">W47+W42-W45</f>
        <v>-6224.21874831014</v>
      </c>
      <c r="X54" s="28" t="n">
        <f aca="false">X47+X42-X45</f>
        <v>-6338.3294253625</v>
      </c>
      <c r="Y54" s="28" t="n">
        <f aca="false">Y47+Y42-Y45</f>
        <v>-6454.53213149414</v>
      </c>
      <c r="Z54" s="28" t="n">
        <f aca="false">Z47+Z42-Z45</f>
        <v>0</v>
      </c>
      <c r="AA54" s="28" t="n">
        <f aca="false">AA47+AA42-AA45</f>
        <v>0</v>
      </c>
      <c r="AB54" s="28" t="n">
        <f aca="false">AB47+AB42-AB45</f>
        <v>0</v>
      </c>
      <c r="AC54" s="28" t="n">
        <f aca="false">AC47+AC42-AC45</f>
        <v>0</v>
      </c>
      <c r="AD54" s="28" t="n">
        <f aca="false">AD47+AD42-AD45</f>
        <v>0</v>
      </c>
      <c r="AE54" s="28" t="n">
        <f aca="false">AE47+AE42-AE45</f>
        <v>0</v>
      </c>
      <c r="AF54" s="28" t="n">
        <f aca="false">AF47+AF42-AF45</f>
        <v>0</v>
      </c>
      <c r="AG54" s="28" t="n">
        <f aca="false">AG47+AG42-AG45</f>
        <v>0</v>
      </c>
      <c r="AH54" s="28" t="n">
        <f aca="false">AH47+AH42-AH45</f>
        <v>0</v>
      </c>
      <c r="AI54" s="28" t="n">
        <f aca="false">AI47+AI42-AI45</f>
        <v>0</v>
      </c>
      <c r="AJ54" s="28" t="n">
        <f aca="false">AJ47+AJ42-AJ45</f>
        <v>0</v>
      </c>
      <c r="AK54" s="28" t="n">
        <f aca="false">AK47+AK42-AK45</f>
        <v>0</v>
      </c>
      <c r="AL54" s="28" t="n">
        <f aca="false">AL47+AL42-AL45</f>
        <v>0</v>
      </c>
      <c r="AM54" s="28" t="n">
        <f aca="false">AM47+AM42-AM45</f>
        <v>0</v>
      </c>
      <c r="AN54" s="28" t="n">
        <f aca="false">AN47+AN42-AN45</f>
        <v>0</v>
      </c>
      <c r="AO54" s="28" t="n">
        <f aca="false">AO47+AO42-AO45</f>
        <v>0</v>
      </c>
      <c r="AP54" s="28" t="n">
        <f aca="false">AP47+AP42-AP45</f>
        <v>0</v>
      </c>
      <c r="AQ54" s="28" t="n">
        <f aca="false">AQ47+AQ42-AQ45</f>
        <v>0</v>
      </c>
      <c r="AR54" s="28" t="n">
        <f aca="false">AR47+AR42-AR45</f>
        <v>0</v>
      </c>
      <c r="AS54" s="28" t="n">
        <f aca="false">AS47+AS42-AS45</f>
        <v>0</v>
      </c>
      <c r="AT54" s="28" t="n">
        <f aca="false">AT47+AT42-AT45</f>
        <v>0</v>
      </c>
      <c r="AU54" s="28" t="n">
        <f aca="false">AU47+AU42-AU45</f>
        <v>0</v>
      </c>
      <c r="AV54" s="28" t="n">
        <f aca="false">AV47+AV42-AV45</f>
        <v>0</v>
      </c>
      <c r="AW54" s="28" t="n">
        <f aca="false">AW47+AW42-AW45</f>
        <v>0</v>
      </c>
      <c r="AX54" s="28" t="n">
        <f aca="false">AX47+AX42-AX45</f>
        <v>0</v>
      </c>
      <c r="AY54" s="28" t="n">
        <f aca="false">AY47+AY42-AY45</f>
        <v>0</v>
      </c>
      <c r="AZ54" s="28" t="n">
        <f aca="false">AZ47+AZ42-AZ45</f>
        <v>0</v>
      </c>
      <c r="BA54" s="28" t="n">
        <f aca="false">BA47+BA42-BA45</f>
        <v>0</v>
      </c>
      <c r="BB54" s="28" t="n">
        <f aca="false">BB47+BB42-BB45</f>
        <v>0</v>
      </c>
      <c r="BC54" s="28" t="n">
        <f aca="false">BC47+BC42-BC45</f>
        <v>0</v>
      </c>
      <c r="BD54" s="28" t="n">
        <f aca="false">BD47+BD42-BD45</f>
        <v>0</v>
      </c>
      <c r="BE54" s="28" t="n">
        <f aca="false">BE47+BE42-BE45</f>
        <v>0</v>
      </c>
      <c r="BF54" s="28" t="n">
        <f aca="false">BF47+BF42-BF45</f>
        <v>0</v>
      </c>
      <c r="BG54" s="28" t="n">
        <f aca="false">BG47+BG42-BG45</f>
        <v>0</v>
      </c>
      <c r="BH54" s="28" t="n">
        <f aca="false">BH47+BH42-BH45</f>
        <v>0</v>
      </c>
      <c r="BI54" s="28" t="n">
        <f aca="false">BI47+BI42-BI45</f>
        <v>0</v>
      </c>
      <c r="BJ54" s="28" t="n">
        <f aca="false">BJ47+BJ42-BJ45</f>
        <v>0</v>
      </c>
    </row>
    <row r="55" customFormat="false" ht="15" hidden="false" customHeight="false" outlineLevel="0" collapsed="false">
      <c r="A55" s="7" t="s">
        <v>194</v>
      </c>
      <c r="B55" s="4"/>
      <c r="C55" s="20" t="n">
        <f aca="false">C52+C53+C54</f>
        <v>20000</v>
      </c>
      <c r="D55" s="20" t="n">
        <f aca="false">D52+D53+D54</f>
        <v>-3000</v>
      </c>
      <c r="E55" s="20" t="n">
        <f aca="false">E52+E53+E54</f>
        <v>70000</v>
      </c>
      <c r="F55" s="20" t="n">
        <f aca="false">F52+F53+F54</f>
        <v>-13462.5</v>
      </c>
      <c r="G55" s="20" t="n">
        <f aca="false">G52+G53+G54</f>
        <v>-42662.5</v>
      </c>
      <c r="H55" s="20" t="n">
        <f aca="false">H52+H53+H54</f>
        <v>56997.9681127618</v>
      </c>
      <c r="I55" s="20" t="n">
        <f aca="false">I52+I53+I54</f>
        <v>62797.9681127618</v>
      </c>
      <c r="J55" s="20" t="n">
        <f aca="false">J52+J53+J54</f>
        <v>-104402.031887238</v>
      </c>
      <c r="K55" s="20" t="n">
        <f aca="false">K52+K53+K54</f>
        <v>56997.9681127618</v>
      </c>
      <c r="L55" s="20" t="n">
        <f aca="false">L52+L53+L54</f>
        <v>62797.9681127618</v>
      </c>
      <c r="M55" s="20" t="n">
        <f aca="false">M52+M53+M54</f>
        <v>-104402.031887238</v>
      </c>
      <c r="N55" s="20" t="n">
        <f aca="false">N52+N53+N54</f>
        <v>56997.9681127618</v>
      </c>
      <c r="O55" s="20" t="n">
        <f aca="false">O52+O53+O54</f>
        <v>49480.5672530654</v>
      </c>
      <c r="P55" s="20" t="n">
        <f aca="false">P52+P53+P54</f>
        <v>-118381.531887238</v>
      </c>
      <c r="Q55" s="20" t="n">
        <f aca="false">Q52+Q53+Q54</f>
        <v>64626.4681127618</v>
      </c>
      <c r="R55" s="20" t="n">
        <f aca="false">R52+R53+R54</f>
        <v>71122.4681127618</v>
      </c>
      <c r="S55" s="20" t="n">
        <f aca="false">S52+S53+S54</f>
        <v>-116141.531887238</v>
      </c>
      <c r="T55" s="20" t="n">
        <f aca="false">T52+T53+T54</f>
        <v>64626.4681127618</v>
      </c>
      <c r="U55" s="20" t="n">
        <f aca="false">U52+U53+U54</f>
        <v>71122.4681127618</v>
      </c>
      <c r="V55" s="20" t="n">
        <f aca="false">V52+V53+V54</f>
        <v>-116141.531887238</v>
      </c>
      <c r="W55" s="20" t="n">
        <f aca="false">W52+W53+W54</f>
        <v>64626.4681127618</v>
      </c>
      <c r="X55" s="20" t="n">
        <f aca="false">X52+X53+X54</f>
        <v>71122.4681127618</v>
      </c>
      <c r="Y55" s="20" t="n">
        <f aca="false">Y52+Y53+Y54</f>
        <v>-116141.531887238</v>
      </c>
      <c r="Z55" s="20" t="n">
        <f aca="false">Z52+Z53+Z54</f>
        <v>71199.3333333333</v>
      </c>
      <c r="AA55" s="20" t="n">
        <f aca="false">AA52+AA53+AA54</f>
        <v>64761.9482567251</v>
      </c>
      <c r="AB55" s="20" t="n">
        <f aca="false">AB52+AB53+AB54</f>
        <v>-125225.706666667</v>
      </c>
      <c r="AC55" s="20" t="n">
        <f aca="false">AC52+AC53+AC54</f>
        <v>79743.2533333333</v>
      </c>
      <c r="AD55" s="20" t="n">
        <f aca="false">AD52+AD53+AD54</f>
        <v>87018.7733333334</v>
      </c>
      <c r="AE55" s="20" t="n">
        <f aca="false">AE52+AE53+AE54</f>
        <v>-122716.906666667</v>
      </c>
      <c r="AF55" s="20" t="n">
        <f aca="false">AF52+AF53+AF54</f>
        <v>79743.2533333333</v>
      </c>
      <c r="AG55" s="20" t="n">
        <f aca="false">AG52+AG53+AG54</f>
        <v>87018.7733333334</v>
      </c>
      <c r="AH55" s="20" t="n">
        <f aca="false">AH52+AH53+AH54</f>
        <v>-122716.906666667</v>
      </c>
      <c r="AI55" s="20" t="n">
        <f aca="false">AI52+AI53+AI54</f>
        <v>79743.2533333333</v>
      </c>
      <c r="AJ55" s="20" t="n">
        <f aca="false">AJ52+AJ53+AJ54</f>
        <v>87018.7733333334</v>
      </c>
      <c r="AK55" s="20" t="n">
        <f aca="false">AK52+AK53+AK54</f>
        <v>-122716.906666667</v>
      </c>
      <c r="AL55" s="20" t="n">
        <f aca="false">AL52+AL53+AL54</f>
        <v>79743.2533333333</v>
      </c>
      <c r="AM55" s="20" t="n">
        <f aca="false">AM52+AM53+AM54</f>
        <v>71301.0901333334</v>
      </c>
      <c r="AN55" s="20" t="n">
        <f aca="false">AN52+AN53+AN54</f>
        <v>-140252.791466667</v>
      </c>
      <c r="AO55" s="20" t="n">
        <f aca="false">AO52+AO53+AO54</f>
        <v>89312.4437333334</v>
      </c>
      <c r="AP55" s="20" t="n">
        <f aca="false">AP52+AP53+AP54</f>
        <v>97461.0261333334</v>
      </c>
      <c r="AQ55" s="20" t="n">
        <f aca="false">AQ52+AQ53+AQ54</f>
        <v>-137442.935466667</v>
      </c>
      <c r="AR55" s="20" t="n">
        <f aca="false">AR52+AR53+AR54</f>
        <v>89312.4437333334</v>
      </c>
      <c r="AS55" s="20" t="n">
        <f aca="false">AS52+AS53+AS54</f>
        <v>97461.0261333334</v>
      </c>
      <c r="AT55" s="20" t="n">
        <f aca="false">AT52+AT53+AT54</f>
        <v>-137442.935466667</v>
      </c>
      <c r="AU55" s="20" t="n">
        <f aca="false">AU52+AU53+AU54</f>
        <v>89312.4437333334</v>
      </c>
      <c r="AV55" s="20" t="n">
        <f aca="false">AV52+AV53+AV54</f>
        <v>97461.0261333334</v>
      </c>
      <c r="AW55" s="20" t="n">
        <f aca="false">AW52+AW53+AW54</f>
        <v>-137442.935466667</v>
      </c>
      <c r="AX55" s="20" t="n">
        <f aca="false">AX52+AX53+AX54</f>
        <v>89312.4437333334</v>
      </c>
      <c r="AY55" s="20" t="n">
        <f aca="false">AY52+AY53+AY54</f>
        <v>79449.2209493334</v>
      </c>
      <c r="AZ55" s="20" t="n">
        <f aca="false">AZ52+AZ53+AZ54</f>
        <v>-157083.126442667</v>
      </c>
      <c r="BA55" s="20" t="n">
        <f aca="false">BA52+BA53+BA54</f>
        <v>100029.936981333</v>
      </c>
      <c r="BB55" s="20" t="n">
        <f aca="false">BB52+BB53+BB54</f>
        <v>109156.349269333</v>
      </c>
      <c r="BC55" s="20" t="n">
        <f aca="false">BC52+BC53+BC54</f>
        <v>-153936.087722667</v>
      </c>
      <c r="BD55" s="20" t="n">
        <f aca="false">BD52+BD53+BD54</f>
        <v>100029.936981333</v>
      </c>
      <c r="BE55" s="20" t="n">
        <f aca="false">BE52+BE53+BE54</f>
        <v>109156.349269333</v>
      </c>
      <c r="BF55" s="20" t="n">
        <f aca="false">BF52+BF53+BF54</f>
        <v>-153936.087722667</v>
      </c>
      <c r="BG55" s="20" t="n">
        <f aca="false">BG52+BG53+BG54</f>
        <v>100029.936981333</v>
      </c>
      <c r="BH55" s="20" t="n">
        <f aca="false">BH52+BH53+BH54</f>
        <v>109156.349269333</v>
      </c>
      <c r="BI55" s="20" t="n">
        <f aca="false">BI52+BI53+BI54</f>
        <v>-153936.087722667</v>
      </c>
      <c r="BJ55" s="20" t="n">
        <f aca="false">BJ52+BJ53+BJ54</f>
        <v>100029.936981333</v>
      </c>
    </row>
    <row r="56" customFormat="false" ht="15" hidden="false" customHeight="false" outlineLevel="0" collapsed="false">
      <c r="A56" s="4" t="s">
        <v>195</v>
      </c>
      <c r="B56" s="4"/>
      <c r="C56" s="28" t="n">
        <f aca="false">0</f>
        <v>0</v>
      </c>
      <c r="D56" s="28" t="n">
        <f aca="false">C58</f>
        <v>20000</v>
      </c>
      <c r="E56" s="28" t="n">
        <f aca="false">D58</f>
        <v>17000</v>
      </c>
      <c r="F56" s="28" t="n">
        <f aca="false">E58</f>
        <v>87000</v>
      </c>
      <c r="G56" s="28" t="n">
        <f aca="false">F58</f>
        <v>73537.5</v>
      </c>
      <c r="H56" s="28" t="n">
        <f aca="false">G58</f>
        <v>30875</v>
      </c>
      <c r="I56" s="28" t="n">
        <f aca="false">H58</f>
        <v>87872.9681127618</v>
      </c>
      <c r="J56" s="28" t="n">
        <f aca="false">I58</f>
        <v>150670.936225524</v>
      </c>
      <c r="K56" s="28" t="n">
        <f aca="false">J58</f>
        <v>46268.9043382854</v>
      </c>
      <c r="L56" s="28" t="n">
        <f aca="false">K58</f>
        <v>103266.872451047</v>
      </c>
      <c r="M56" s="28" t="n">
        <f aca="false">L58</f>
        <v>166064.840563809</v>
      </c>
      <c r="N56" s="28" t="n">
        <f aca="false">M58</f>
        <v>61662.8086765708</v>
      </c>
      <c r="O56" s="28" t="n">
        <f aca="false">N58</f>
        <v>118660.776789333</v>
      </c>
      <c r="P56" s="28" t="n">
        <f aca="false">O58</f>
        <v>168141.344042398</v>
      </c>
      <c r="Q56" s="28" t="n">
        <f aca="false">P58</f>
        <v>49759.8121551598</v>
      </c>
      <c r="R56" s="28" t="n">
        <f aca="false">Q58</f>
        <v>114386.280267922</v>
      </c>
      <c r="S56" s="28" t="n">
        <f aca="false">R58</f>
        <v>185508.748380683</v>
      </c>
      <c r="T56" s="28" t="n">
        <f aca="false">S58</f>
        <v>69367.2164934451</v>
      </c>
      <c r="U56" s="28" t="n">
        <f aca="false">T58</f>
        <v>133993.684606207</v>
      </c>
      <c r="V56" s="28" t="n">
        <f aca="false">U58</f>
        <v>205116.152718969</v>
      </c>
      <c r="W56" s="28" t="n">
        <f aca="false">V58</f>
        <v>88974.6208317305</v>
      </c>
      <c r="X56" s="28" t="n">
        <f aca="false">W58</f>
        <v>153601.088944492</v>
      </c>
      <c r="Y56" s="28" t="n">
        <f aca="false">X58</f>
        <v>224723.557057254</v>
      </c>
      <c r="Z56" s="28" t="n">
        <f aca="false">Y58</f>
        <v>108582.025170016</v>
      </c>
      <c r="AA56" s="28" t="n">
        <f aca="false">Z58</f>
        <v>179781.358503349</v>
      </c>
      <c r="AB56" s="28" t="n">
        <f aca="false">AA58</f>
        <v>244543.306760074</v>
      </c>
      <c r="AC56" s="28" t="n">
        <f aca="false">AB58</f>
        <v>119317.600093408</v>
      </c>
      <c r="AD56" s="28" t="n">
        <f aca="false">AC58</f>
        <v>199060.853426741</v>
      </c>
      <c r="AE56" s="28" t="n">
        <f aca="false">AD58</f>
        <v>286079.626760074</v>
      </c>
      <c r="AF56" s="28" t="n">
        <f aca="false">AE58</f>
        <v>163362.720093408</v>
      </c>
      <c r="AG56" s="28" t="n">
        <f aca="false">AF58</f>
        <v>243105.973426741</v>
      </c>
      <c r="AH56" s="28" t="n">
        <f aca="false">AG58</f>
        <v>330124.746760074</v>
      </c>
      <c r="AI56" s="28" t="n">
        <f aca="false">AH58</f>
        <v>207407.840093408</v>
      </c>
      <c r="AJ56" s="28" t="n">
        <f aca="false">AI58</f>
        <v>287151.093426741</v>
      </c>
      <c r="AK56" s="28" t="n">
        <f aca="false">AJ58</f>
        <v>374169.866760075</v>
      </c>
      <c r="AL56" s="28" t="n">
        <f aca="false">AK58</f>
        <v>251452.960093408</v>
      </c>
      <c r="AM56" s="28" t="n">
        <f aca="false">AL58</f>
        <v>331196.213426741</v>
      </c>
      <c r="AN56" s="28" t="n">
        <f aca="false">AM58</f>
        <v>402497.303560075</v>
      </c>
      <c r="AO56" s="28" t="n">
        <f aca="false">AN58</f>
        <v>262244.512093408</v>
      </c>
      <c r="AP56" s="28" t="n">
        <f aca="false">AO58</f>
        <v>351556.955826741</v>
      </c>
      <c r="AQ56" s="28" t="n">
        <f aca="false">AP58</f>
        <v>449017.981960075</v>
      </c>
      <c r="AR56" s="28" t="n">
        <f aca="false">AQ58</f>
        <v>311575.046493408</v>
      </c>
      <c r="AS56" s="28" t="n">
        <f aca="false">AR58</f>
        <v>400887.490226741</v>
      </c>
      <c r="AT56" s="28" t="n">
        <f aca="false">AS58</f>
        <v>498348.516360075</v>
      </c>
      <c r="AU56" s="28" t="n">
        <f aca="false">AT58</f>
        <v>360905.580893408</v>
      </c>
      <c r="AV56" s="28" t="n">
        <f aca="false">AU58</f>
        <v>450218.024626741</v>
      </c>
      <c r="AW56" s="28" t="n">
        <f aca="false">AV58</f>
        <v>547679.050760075</v>
      </c>
      <c r="AX56" s="28" t="n">
        <f aca="false">AW58</f>
        <v>410236.115293408</v>
      </c>
      <c r="AY56" s="28" t="n">
        <f aca="false">AX58</f>
        <v>499548.559026741</v>
      </c>
      <c r="AZ56" s="28" t="n">
        <f aca="false">AY58</f>
        <v>578997.779976075</v>
      </c>
      <c r="BA56" s="28" t="n">
        <f aca="false">AZ58</f>
        <v>421914.653533408</v>
      </c>
      <c r="BB56" s="28" t="n">
        <f aca="false">BA58</f>
        <v>521944.590514741</v>
      </c>
      <c r="BC56" s="28" t="n">
        <f aca="false">BB58</f>
        <v>631100.939784075</v>
      </c>
      <c r="BD56" s="28" t="n">
        <f aca="false">BC58</f>
        <v>477164.852061408</v>
      </c>
      <c r="BE56" s="28" t="n">
        <f aca="false">BD58</f>
        <v>577194.789042741</v>
      </c>
      <c r="BF56" s="28" t="n">
        <f aca="false">BE58</f>
        <v>686351.138312075</v>
      </c>
      <c r="BG56" s="28" t="n">
        <f aca="false">BF58</f>
        <v>532415.050589408</v>
      </c>
      <c r="BH56" s="28" t="n">
        <f aca="false">BG58</f>
        <v>632444.987570741</v>
      </c>
      <c r="BI56" s="28" t="n">
        <f aca="false">BH58</f>
        <v>741601.336840075</v>
      </c>
      <c r="BJ56" s="28" t="n">
        <f aca="false">BI58</f>
        <v>587665.249117408</v>
      </c>
    </row>
    <row r="57" customFormat="false" ht="15" hidden="false" customHeight="false" outlineLevel="0" collapsed="false">
      <c r="A57" s="7" t="s">
        <v>196</v>
      </c>
      <c r="B57" s="4"/>
      <c r="C57" s="20" t="n">
        <f aca="false">MAX(0,Assumptions!$F$43-(C56+C55))</f>
        <v>0</v>
      </c>
      <c r="D57" s="20" t="n">
        <f aca="false">MAX(0,Assumptions!$F$43-(D56+D55))</f>
        <v>0</v>
      </c>
      <c r="E57" s="20" t="n">
        <f aca="false">MAX(0,Assumptions!$F$43-(E56+E55))</f>
        <v>0</v>
      </c>
      <c r="F57" s="20" t="n">
        <f aca="false">MAX(0,Assumptions!$F$43-(F56+F55))</f>
        <v>0</v>
      </c>
      <c r="G57" s="20" t="n">
        <f aca="false">MAX(0,Assumptions!$F$43-(G56+G55))</f>
        <v>0</v>
      </c>
      <c r="H57" s="20" t="n">
        <f aca="false">MAX(0,Assumptions!$F$43-(H56+H55))</f>
        <v>0</v>
      </c>
      <c r="I57" s="20" t="n">
        <f aca="false">MAX(0,Assumptions!$F$43-(I56+I55))</f>
        <v>0</v>
      </c>
      <c r="J57" s="20" t="n">
        <f aca="false">MAX(0,Assumptions!$F$43-(J56+J55))</f>
        <v>0</v>
      </c>
      <c r="K57" s="20" t="n">
        <f aca="false">MAX(0,Assumptions!$F$43-(K56+K55))</f>
        <v>0</v>
      </c>
      <c r="L57" s="20" t="n">
        <f aca="false">MAX(0,Assumptions!$F$43-(L56+L55))</f>
        <v>0</v>
      </c>
      <c r="M57" s="20" t="n">
        <f aca="false">MAX(0,Assumptions!$F$43-(M56+M55))</f>
        <v>0</v>
      </c>
      <c r="N57" s="20" t="n">
        <f aca="false">MAX(0,Assumptions!$F$43-(N56+N55))</f>
        <v>0</v>
      </c>
      <c r="O57" s="20" t="n">
        <f aca="false">MAX(0,Assumptions!$F$43-(O56+O55))</f>
        <v>0</v>
      </c>
      <c r="P57" s="20" t="n">
        <f aca="false">MAX(0,Assumptions!$F$43-(P56+P55))</f>
        <v>0</v>
      </c>
      <c r="Q57" s="20" t="n">
        <f aca="false">MAX(0,Assumptions!$F$43-(Q56+Q55))</f>
        <v>0</v>
      </c>
      <c r="R57" s="20" t="n">
        <f aca="false">MAX(0,Assumptions!$F$43-(R56+R55))</f>
        <v>0</v>
      </c>
      <c r="S57" s="20" t="n">
        <f aca="false">MAX(0,Assumptions!$F$43-(S56+S55))</f>
        <v>0</v>
      </c>
      <c r="T57" s="20" t="n">
        <f aca="false">MAX(0,Assumptions!$F$43-(T56+T55))</f>
        <v>0</v>
      </c>
      <c r="U57" s="20" t="n">
        <f aca="false">MAX(0,Assumptions!$F$43-(U56+U55))</f>
        <v>0</v>
      </c>
      <c r="V57" s="20" t="n">
        <f aca="false">MAX(0,Assumptions!$F$43-(V56+V55))</f>
        <v>0</v>
      </c>
      <c r="W57" s="20" t="n">
        <f aca="false">MAX(0,Assumptions!$F$43-(W56+W55))</f>
        <v>0</v>
      </c>
      <c r="X57" s="20" t="n">
        <f aca="false">MAX(0,Assumptions!$F$43-(X56+X55))</f>
        <v>0</v>
      </c>
      <c r="Y57" s="20" t="n">
        <f aca="false">MAX(0,Assumptions!$F$43-(Y56+Y55))</f>
        <v>0</v>
      </c>
      <c r="Z57" s="20" t="n">
        <f aca="false">MAX(0,Assumptions!$F$43-(Z56+Z55))</f>
        <v>0</v>
      </c>
      <c r="AA57" s="20" t="n">
        <f aca="false">MAX(0,Assumptions!$F$43-(AA56+AA55))</f>
        <v>0</v>
      </c>
      <c r="AB57" s="20" t="n">
        <f aca="false">MAX(0,Assumptions!$F$43-(AB56+AB55))</f>
        <v>0</v>
      </c>
      <c r="AC57" s="20" t="n">
        <f aca="false">MAX(0,Assumptions!$F$43-(AC56+AC55))</f>
        <v>0</v>
      </c>
      <c r="AD57" s="20" t="n">
        <f aca="false">MAX(0,Assumptions!$F$43-(AD56+AD55))</f>
        <v>0</v>
      </c>
      <c r="AE57" s="20" t="n">
        <f aca="false">MAX(0,Assumptions!$F$43-(AE56+AE55))</f>
        <v>0</v>
      </c>
      <c r="AF57" s="20" t="n">
        <f aca="false">MAX(0,Assumptions!$F$43-(AF56+AF55))</f>
        <v>0</v>
      </c>
      <c r="AG57" s="20" t="n">
        <f aca="false">MAX(0,Assumptions!$F$43-(AG56+AG55))</f>
        <v>0</v>
      </c>
      <c r="AH57" s="20" t="n">
        <f aca="false">MAX(0,Assumptions!$F$43-(AH56+AH55))</f>
        <v>0</v>
      </c>
      <c r="AI57" s="20" t="n">
        <f aca="false">MAX(0,Assumptions!$F$43-(AI56+AI55))</f>
        <v>0</v>
      </c>
      <c r="AJ57" s="20" t="n">
        <f aca="false">MAX(0,Assumptions!$F$43-(AJ56+AJ55))</f>
        <v>0</v>
      </c>
      <c r="AK57" s="20" t="n">
        <f aca="false">MAX(0,Assumptions!$F$43-(AK56+AK55))</f>
        <v>0</v>
      </c>
      <c r="AL57" s="20" t="n">
        <f aca="false">MAX(0,Assumptions!$F$43-(AL56+AL55))</f>
        <v>0</v>
      </c>
      <c r="AM57" s="20" t="n">
        <f aca="false">MAX(0,Assumptions!$F$43-(AM56+AM55))</f>
        <v>0</v>
      </c>
      <c r="AN57" s="20" t="n">
        <f aca="false">MAX(0,Assumptions!$F$43-(AN56+AN55))</f>
        <v>0</v>
      </c>
      <c r="AO57" s="20" t="n">
        <f aca="false">MAX(0,Assumptions!$F$43-(AO56+AO55))</f>
        <v>0</v>
      </c>
      <c r="AP57" s="20" t="n">
        <f aca="false">MAX(0,Assumptions!$F$43-(AP56+AP55))</f>
        <v>0</v>
      </c>
      <c r="AQ57" s="20" t="n">
        <f aca="false">MAX(0,Assumptions!$F$43-(AQ56+AQ55))</f>
        <v>0</v>
      </c>
      <c r="AR57" s="20" t="n">
        <f aca="false">MAX(0,Assumptions!$F$43-(AR56+AR55))</f>
        <v>0</v>
      </c>
      <c r="AS57" s="20" t="n">
        <f aca="false">MAX(0,Assumptions!$F$43-(AS56+AS55))</f>
        <v>0</v>
      </c>
      <c r="AT57" s="20" t="n">
        <f aca="false">MAX(0,Assumptions!$F$43-(AT56+AT55))</f>
        <v>0</v>
      </c>
      <c r="AU57" s="20" t="n">
        <f aca="false">MAX(0,Assumptions!$F$43-(AU56+AU55))</f>
        <v>0</v>
      </c>
      <c r="AV57" s="20" t="n">
        <f aca="false">MAX(0,Assumptions!$F$43-(AV56+AV55))</f>
        <v>0</v>
      </c>
      <c r="AW57" s="20" t="n">
        <f aca="false">MAX(0,Assumptions!$F$43-(AW56+AW55))</f>
        <v>0</v>
      </c>
      <c r="AX57" s="20" t="n">
        <f aca="false">MAX(0,Assumptions!$F$43-(AX56+AX55))</f>
        <v>0</v>
      </c>
      <c r="AY57" s="20" t="n">
        <f aca="false">MAX(0,Assumptions!$F$43-(AY56+AY55))</f>
        <v>0</v>
      </c>
      <c r="AZ57" s="20" t="n">
        <f aca="false">MAX(0,Assumptions!$F$43-(AZ56+AZ55))</f>
        <v>0</v>
      </c>
      <c r="BA57" s="20" t="n">
        <f aca="false">MAX(0,Assumptions!$F$43-(BA56+BA55))</f>
        <v>0</v>
      </c>
      <c r="BB57" s="20" t="n">
        <f aca="false">MAX(0,Assumptions!$F$43-(BB56+BB55))</f>
        <v>0</v>
      </c>
      <c r="BC57" s="20" t="n">
        <f aca="false">MAX(0,Assumptions!$F$43-(BC56+BC55))</f>
        <v>0</v>
      </c>
      <c r="BD57" s="20" t="n">
        <f aca="false">MAX(0,Assumptions!$F$43-(BD56+BD55))</f>
        <v>0</v>
      </c>
      <c r="BE57" s="20" t="n">
        <f aca="false">MAX(0,Assumptions!$F$43-(BE56+BE55))</f>
        <v>0</v>
      </c>
      <c r="BF57" s="20" t="n">
        <f aca="false">MAX(0,Assumptions!$F$43-(BF56+BF55))</f>
        <v>0</v>
      </c>
      <c r="BG57" s="20" t="n">
        <f aca="false">MAX(0,Assumptions!$F$43-(BG56+BG55))</f>
        <v>0</v>
      </c>
      <c r="BH57" s="20" t="n">
        <f aca="false">MAX(0,Assumptions!$F$43-(BH56+BH55))</f>
        <v>0</v>
      </c>
      <c r="BI57" s="20" t="n">
        <f aca="false">MAX(0,Assumptions!$F$43-(BI56+BI55))</f>
        <v>0</v>
      </c>
      <c r="BJ57" s="20" t="n">
        <f aca="false">MAX(0,Assumptions!$F$43-(BJ56+BJ55))</f>
        <v>0</v>
      </c>
    </row>
    <row r="58" customFormat="false" ht="15" hidden="false" customHeight="false" outlineLevel="0" collapsed="false">
      <c r="A58" s="7" t="s">
        <v>197</v>
      </c>
      <c r="B58" s="4"/>
      <c r="C58" s="20" t="n">
        <f aca="false">C56+C55+C57</f>
        <v>20000</v>
      </c>
      <c r="D58" s="20" t="n">
        <f aca="false">D56+D55+D57</f>
        <v>17000</v>
      </c>
      <c r="E58" s="20" t="n">
        <f aca="false">E56+E55+E57</f>
        <v>87000</v>
      </c>
      <c r="F58" s="20" t="n">
        <f aca="false">F56+F55+F57</f>
        <v>73537.5</v>
      </c>
      <c r="G58" s="20" t="n">
        <f aca="false">G56+G55+G57</f>
        <v>30875</v>
      </c>
      <c r="H58" s="20" t="n">
        <f aca="false">H56+H55+H57</f>
        <v>87872.9681127618</v>
      </c>
      <c r="I58" s="20" t="n">
        <f aca="false">I56+I55+I57</f>
        <v>150670.936225524</v>
      </c>
      <c r="J58" s="20" t="n">
        <f aca="false">J56+J55+J57</f>
        <v>46268.9043382854</v>
      </c>
      <c r="K58" s="20" t="n">
        <f aca="false">K56+K55+K57</f>
        <v>103266.872451047</v>
      </c>
      <c r="L58" s="20" t="n">
        <f aca="false">L56+L55+L57</f>
        <v>166064.840563809</v>
      </c>
      <c r="M58" s="20" t="n">
        <f aca="false">M56+M55+M57</f>
        <v>61662.8086765708</v>
      </c>
      <c r="N58" s="20" t="n">
        <f aca="false">N56+N55+N57</f>
        <v>118660.776789333</v>
      </c>
      <c r="O58" s="20" t="n">
        <f aca="false">O56+O55+O57</f>
        <v>168141.344042398</v>
      </c>
      <c r="P58" s="20" t="n">
        <f aca="false">P56+P55+P57</f>
        <v>49759.8121551598</v>
      </c>
      <c r="Q58" s="20" t="n">
        <f aca="false">Q56+Q55+Q57</f>
        <v>114386.280267922</v>
      </c>
      <c r="R58" s="20" t="n">
        <f aca="false">R56+R55+R57</f>
        <v>185508.748380683</v>
      </c>
      <c r="S58" s="20" t="n">
        <f aca="false">S56+S55+S57</f>
        <v>69367.2164934451</v>
      </c>
      <c r="T58" s="20" t="n">
        <f aca="false">T56+T55+T57</f>
        <v>133993.684606207</v>
      </c>
      <c r="U58" s="20" t="n">
        <f aca="false">U56+U55+U57</f>
        <v>205116.152718969</v>
      </c>
      <c r="V58" s="20" t="n">
        <f aca="false">V56+V55+V57</f>
        <v>88974.6208317305</v>
      </c>
      <c r="W58" s="20" t="n">
        <f aca="false">W56+W55+W57</f>
        <v>153601.088944492</v>
      </c>
      <c r="X58" s="20" t="n">
        <f aca="false">X56+X55+X57</f>
        <v>224723.557057254</v>
      </c>
      <c r="Y58" s="20" t="n">
        <f aca="false">Y56+Y55+Y57</f>
        <v>108582.025170016</v>
      </c>
      <c r="Z58" s="20" t="n">
        <f aca="false">Z56+Z55+Z57</f>
        <v>179781.358503349</v>
      </c>
      <c r="AA58" s="20" t="n">
        <f aca="false">AA56+AA55+AA57</f>
        <v>244543.306760074</v>
      </c>
      <c r="AB58" s="20" t="n">
        <f aca="false">AB56+AB55+AB57</f>
        <v>119317.600093408</v>
      </c>
      <c r="AC58" s="20" t="n">
        <f aca="false">AC56+AC55+AC57</f>
        <v>199060.853426741</v>
      </c>
      <c r="AD58" s="20" t="n">
        <f aca="false">AD56+AD55+AD57</f>
        <v>286079.626760074</v>
      </c>
      <c r="AE58" s="20" t="n">
        <f aca="false">AE56+AE55+AE57</f>
        <v>163362.720093408</v>
      </c>
      <c r="AF58" s="20" t="n">
        <f aca="false">AF56+AF55+AF57</f>
        <v>243105.973426741</v>
      </c>
      <c r="AG58" s="20" t="n">
        <f aca="false">AG56+AG55+AG57</f>
        <v>330124.746760074</v>
      </c>
      <c r="AH58" s="20" t="n">
        <f aca="false">AH56+AH55+AH57</f>
        <v>207407.840093408</v>
      </c>
      <c r="AI58" s="20" t="n">
        <f aca="false">AI56+AI55+AI57</f>
        <v>287151.093426741</v>
      </c>
      <c r="AJ58" s="20" t="n">
        <f aca="false">AJ56+AJ55+AJ57</f>
        <v>374169.866760075</v>
      </c>
      <c r="AK58" s="20" t="n">
        <f aca="false">AK56+AK55+AK57</f>
        <v>251452.960093408</v>
      </c>
      <c r="AL58" s="20" t="n">
        <f aca="false">AL56+AL55+AL57</f>
        <v>331196.213426741</v>
      </c>
      <c r="AM58" s="20" t="n">
        <f aca="false">AM56+AM55+AM57</f>
        <v>402497.303560075</v>
      </c>
      <c r="AN58" s="20" t="n">
        <f aca="false">AN56+AN55+AN57</f>
        <v>262244.512093408</v>
      </c>
      <c r="AO58" s="20" t="n">
        <f aca="false">AO56+AO55+AO57</f>
        <v>351556.955826741</v>
      </c>
      <c r="AP58" s="20" t="n">
        <f aca="false">AP56+AP55+AP57</f>
        <v>449017.981960075</v>
      </c>
      <c r="AQ58" s="20" t="n">
        <f aca="false">AQ56+AQ55+AQ57</f>
        <v>311575.046493408</v>
      </c>
      <c r="AR58" s="20" t="n">
        <f aca="false">AR56+AR55+AR57</f>
        <v>400887.490226741</v>
      </c>
      <c r="AS58" s="20" t="n">
        <f aca="false">AS56+AS55+AS57</f>
        <v>498348.516360075</v>
      </c>
      <c r="AT58" s="20" t="n">
        <f aca="false">AT56+AT55+AT57</f>
        <v>360905.580893408</v>
      </c>
      <c r="AU58" s="20" t="n">
        <f aca="false">AU56+AU55+AU57</f>
        <v>450218.024626741</v>
      </c>
      <c r="AV58" s="20" t="n">
        <f aca="false">AV56+AV55+AV57</f>
        <v>547679.050760075</v>
      </c>
      <c r="AW58" s="20" t="n">
        <f aca="false">AW56+AW55+AW57</f>
        <v>410236.115293408</v>
      </c>
      <c r="AX58" s="20" t="n">
        <f aca="false">AX56+AX55+AX57</f>
        <v>499548.559026741</v>
      </c>
      <c r="AY58" s="20" t="n">
        <f aca="false">AY56+AY55+AY57</f>
        <v>578997.779976075</v>
      </c>
      <c r="AZ58" s="20" t="n">
        <f aca="false">AZ56+AZ55+AZ57</f>
        <v>421914.653533408</v>
      </c>
      <c r="BA58" s="20" t="n">
        <f aca="false">BA56+BA55+BA57</f>
        <v>521944.590514741</v>
      </c>
      <c r="BB58" s="20" t="n">
        <f aca="false">BB56+BB55+BB57</f>
        <v>631100.939784075</v>
      </c>
      <c r="BC58" s="20" t="n">
        <f aca="false">BC56+BC55+BC57</f>
        <v>477164.852061408</v>
      </c>
      <c r="BD58" s="20" t="n">
        <f aca="false">BD56+BD55+BD57</f>
        <v>577194.789042741</v>
      </c>
      <c r="BE58" s="20" t="n">
        <f aca="false">BE56+BE55+BE57</f>
        <v>686351.138312075</v>
      </c>
      <c r="BF58" s="20" t="n">
        <f aca="false">BF56+BF55+BF57</f>
        <v>532415.050589408</v>
      </c>
      <c r="BG58" s="20" t="n">
        <f aca="false">BG56+BG55+BG57</f>
        <v>632444.987570741</v>
      </c>
      <c r="BH58" s="20" t="n">
        <f aca="false">BH56+BH55+BH57</f>
        <v>741601.336840075</v>
      </c>
      <c r="BI58" s="20" t="n">
        <f aca="false">BI56+BI55+BI57</f>
        <v>587665.249117408</v>
      </c>
      <c r="BJ58" s="20" t="n">
        <f aca="false">BJ56+BJ55+BJ57</f>
        <v>687695.186098742</v>
      </c>
    </row>
    <row r="59" customFormat="false" ht="15" hidden="false" customHeight="false" outlineLevel="0" collapsed="false">
      <c r="A59" s="4" t="s">
        <v>198</v>
      </c>
      <c r="B59" s="4"/>
      <c r="C59" s="28" t="n">
        <f aca="false">C57</f>
        <v>0</v>
      </c>
      <c r="D59" s="28" t="n">
        <f aca="false">C59+D57</f>
        <v>0</v>
      </c>
      <c r="E59" s="28" t="n">
        <f aca="false">D59+E57</f>
        <v>0</v>
      </c>
      <c r="F59" s="28" t="n">
        <f aca="false">E59+F57</f>
        <v>0</v>
      </c>
      <c r="G59" s="28" t="n">
        <f aca="false">F59+G57</f>
        <v>0</v>
      </c>
      <c r="H59" s="28" t="n">
        <f aca="false">G59+H57</f>
        <v>0</v>
      </c>
      <c r="I59" s="28" t="n">
        <f aca="false">H59+I57</f>
        <v>0</v>
      </c>
      <c r="J59" s="28" t="n">
        <f aca="false">I59+J57</f>
        <v>0</v>
      </c>
      <c r="K59" s="28" t="n">
        <f aca="false">J59+K57</f>
        <v>0</v>
      </c>
      <c r="L59" s="28" t="n">
        <f aca="false">K59+L57</f>
        <v>0</v>
      </c>
      <c r="M59" s="28" t="n">
        <f aca="false">L59+M57</f>
        <v>0</v>
      </c>
      <c r="N59" s="28" t="n">
        <f aca="false">M59+N57</f>
        <v>0</v>
      </c>
      <c r="O59" s="28" t="n">
        <f aca="false">N59+O57</f>
        <v>0</v>
      </c>
      <c r="P59" s="28" t="n">
        <f aca="false">O59+P57</f>
        <v>0</v>
      </c>
      <c r="Q59" s="28" t="n">
        <f aca="false">P59+Q57</f>
        <v>0</v>
      </c>
      <c r="R59" s="28" t="n">
        <f aca="false">Q59+R57</f>
        <v>0</v>
      </c>
      <c r="S59" s="28" t="n">
        <f aca="false">R59+S57</f>
        <v>0</v>
      </c>
      <c r="T59" s="28" t="n">
        <f aca="false">S59+T57</f>
        <v>0</v>
      </c>
      <c r="U59" s="28" t="n">
        <f aca="false">T59+U57</f>
        <v>0</v>
      </c>
      <c r="V59" s="28" t="n">
        <f aca="false">U59+V57</f>
        <v>0</v>
      </c>
      <c r="W59" s="28" t="n">
        <f aca="false">V59+W57</f>
        <v>0</v>
      </c>
      <c r="X59" s="28" t="n">
        <f aca="false">W59+X57</f>
        <v>0</v>
      </c>
      <c r="Y59" s="28" t="n">
        <f aca="false">X59+Y57</f>
        <v>0</v>
      </c>
      <c r="Z59" s="28" t="n">
        <f aca="false">Y59+Z57</f>
        <v>0</v>
      </c>
      <c r="AA59" s="28" t="n">
        <f aca="false">Z59+AA57</f>
        <v>0</v>
      </c>
      <c r="AB59" s="28" t="n">
        <f aca="false">AA59+AB57</f>
        <v>0</v>
      </c>
      <c r="AC59" s="28" t="n">
        <f aca="false">AB59+AC57</f>
        <v>0</v>
      </c>
      <c r="AD59" s="28" t="n">
        <f aca="false">AC59+AD57</f>
        <v>0</v>
      </c>
      <c r="AE59" s="28" t="n">
        <f aca="false">AD59+AE57</f>
        <v>0</v>
      </c>
      <c r="AF59" s="28" t="n">
        <f aca="false">AE59+AF57</f>
        <v>0</v>
      </c>
      <c r="AG59" s="28" t="n">
        <f aca="false">AF59+AG57</f>
        <v>0</v>
      </c>
      <c r="AH59" s="28" t="n">
        <f aca="false">AG59+AH57</f>
        <v>0</v>
      </c>
      <c r="AI59" s="28" t="n">
        <f aca="false">AH59+AI57</f>
        <v>0</v>
      </c>
      <c r="AJ59" s="28" t="n">
        <f aca="false">AI59+AJ57</f>
        <v>0</v>
      </c>
      <c r="AK59" s="28" t="n">
        <f aca="false">AJ59+AK57</f>
        <v>0</v>
      </c>
      <c r="AL59" s="28" t="n">
        <f aca="false">AK59+AL57</f>
        <v>0</v>
      </c>
      <c r="AM59" s="28" t="n">
        <f aca="false">AL59+AM57</f>
        <v>0</v>
      </c>
      <c r="AN59" s="28" t="n">
        <f aca="false">AM59+AN57</f>
        <v>0</v>
      </c>
      <c r="AO59" s="28" t="n">
        <f aca="false">AN59+AO57</f>
        <v>0</v>
      </c>
      <c r="AP59" s="28" t="n">
        <f aca="false">AO59+AP57</f>
        <v>0</v>
      </c>
      <c r="AQ59" s="28" t="n">
        <f aca="false">AP59+AQ57</f>
        <v>0</v>
      </c>
      <c r="AR59" s="28" t="n">
        <f aca="false">AQ59+AR57</f>
        <v>0</v>
      </c>
      <c r="AS59" s="28" t="n">
        <f aca="false">AR59+AS57</f>
        <v>0</v>
      </c>
      <c r="AT59" s="28" t="n">
        <f aca="false">AS59+AT57</f>
        <v>0</v>
      </c>
      <c r="AU59" s="28" t="n">
        <f aca="false">AT59+AU57</f>
        <v>0</v>
      </c>
      <c r="AV59" s="28" t="n">
        <f aca="false">AU59+AV57</f>
        <v>0</v>
      </c>
      <c r="AW59" s="28" t="n">
        <f aca="false">AV59+AW57</f>
        <v>0</v>
      </c>
      <c r="AX59" s="28" t="n">
        <f aca="false">AW59+AX57</f>
        <v>0</v>
      </c>
      <c r="AY59" s="28" t="n">
        <f aca="false">AX59+AY57</f>
        <v>0</v>
      </c>
      <c r="AZ59" s="28" t="n">
        <f aca="false">AY59+AZ57</f>
        <v>0</v>
      </c>
      <c r="BA59" s="28" t="n">
        <f aca="false">AZ59+BA57</f>
        <v>0</v>
      </c>
      <c r="BB59" s="28" t="n">
        <f aca="false">BA59+BB57</f>
        <v>0</v>
      </c>
      <c r="BC59" s="28" t="n">
        <f aca="false">BB59+BC57</f>
        <v>0</v>
      </c>
      <c r="BD59" s="28" t="n">
        <f aca="false">BC59+BD57</f>
        <v>0</v>
      </c>
      <c r="BE59" s="28" t="n">
        <f aca="false">BD59+BE57</f>
        <v>0</v>
      </c>
      <c r="BF59" s="28" t="n">
        <f aca="false">BE59+BF57</f>
        <v>0</v>
      </c>
      <c r="BG59" s="28" t="n">
        <f aca="false">BF59+BG57</f>
        <v>0</v>
      </c>
      <c r="BH59" s="28" t="n">
        <f aca="false">BG59+BH57</f>
        <v>0</v>
      </c>
      <c r="BI59" s="28" t="n">
        <f aca="false">BH59+BI57</f>
        <v>0</v>
      </c>
      <c r="BJ59" s="28" t="n">
        <f aca="false">BI59+BJ57</f>
        <v>0</v>
      </c>
    </row>
    <row r="60" customFormat="false" ht="15" hidden="false" customHeight="false" outlineLevel="0" collapsed="false">
      <c r="A60" s="4" t="s">
        <v>199</v>
      </c>
      <c r="B60" s="4"/>
      <c r="C60" s="28" t="n">
        <f aca="false">C38</f>
        <v>0</v>
      </c>
      <c r="D60" s="28" t="n">
        <f aca="false">C60+D38</f>
        <v>0</v>
      </c>
      <c r="E60" s="28" t="n">
        <f aca="false">D60+E38</f>
        <v>295000</v>
      </c>
      <c r="F60" s="28" t="n">
        <f aca="false">E60+F38</f>
        <v>295000</v>
      </c>
      <c r="G60" s="28" t="n">
        <f aca="false">F60+G38</f>
        <v>295000</v>
      </c>
      <c r="H60" s="28" t="n">
        <f aca="false">G60+H38</f>
        <v>295000</v>
      </c>
      <c r="I60" s="28" t="n">
        <f aca="false">H60+I38</f>
        <v>295000</v>
      </c>
      <c r="J60" s="28" t="n">
        <f aca="false">I60+J38</f>
        <v>295000</v>
      </c>
      <c r="K60" s="28" t="n">
        <f aca="false">J60+K38</f>
        <v>295000</v>
      </c>
      <c r="L60" s="28" t="n">
        <f aca="false">K60+L38</f>
        <v>295000</v>
      </c>
      <c r="M60" s="28" t="n">
        <f aca="false">L60+M38</f>
        <v>295000</v>
      </c>
      <c r="N60" s="28" t="n">
        <f aca="false">M60+N38</f>
        <v>295000</v>
      </c>
      <c r="O60" s="28" t="n">
        <f aca="false">N60+O38</f>
        <v>295000</v>
      </c>
      <c r="P60" s="28" t="n">
        <f aca="false">O60+P38</f>
        <v>295000</v>
      </c>
      <c r="Q60" s="28" t="n">
        <f aca="false">P60+Q38</f>
        <v>295000</v>
      </c>
      <c r="R60" s="28" t="n">
        <f aca="false">Q60+R38</f>
        <v>295000</v>
      </c>
      <c r="S60" s="28" t="n">
        <f aca="false">R60+S38</f>
        <v>295000</v>
      </c>
      <c r="T60" s="28" t="n">
        <f aca="false">S60+T38</f>
        <v>295000</v>
      </c>
      <c r="U60" s="28" t="n">
        <f aca="false">T60+U38</f>
        <v>295000</v>
      </c>
      <c r="V60" s="28" t="n">
        <f aca="false">U60+V38</f>
        <v>295000</v>
      </c>
      <c r="W60" s="28" t="n">
        <f aca="false">V60+W38</f>
        <v>295000</v>
      </c>
      <c r="X60" s="28" t="n">
        <f aca="false">W60+X38</f>
        <v>295000</v>
      </c>
      <c r="Y60" s="28" t="n">
        <f aca="false">X60+Y38</f>
        <v>295000</v>
      </c>
      <c r="Z60" s="28" t="n">
        <f aca="false">Y60+Z38</f>
        <v>295000</v>
      </c>
      <c r="AA60" s="28" t="n">
        <f aca="false">Z60+AA38</f>
        <v>295000</v>
      </c>
      <c r="AB60" s="28" t="n">
        <f aca="false">AA60+AB38</f>
        <v>295000</v>
      </c>
      <c r="AC60" s="28" t="n">
        <f aca="false">AB60+AC38</f>
        <v>295000</v>
      </c>
      <c r="AD60" s="28" t="n">
        <f aca="false">AC60+AD38</f>
        <v>295000</v>
      </c>
      <c r="AE60" s="28" t="n">
        <f aca="false">AD60+AE38</f>
        <v>295000</v>
      </c>
      <c r="AF60" s="28" t="n">
        <f aca="false">AE60+AF38</f>
        <v>295000</v>
      </c>
      <c r="AG60" s="28" t="n">
        <f aca="false">AF60+AG38</f>
        <v>295000</v>
      </c>
      <c r="AH60" s="28" t="n">
        <f aca="false">AG60+AH38</f>
        <v>295000</v>
      </c>
      <c r="AI60" s="28" t="n">
        <f aca="false">AH60+AI38</f>
        <v>295000</v>
      </c>
      <c r="AJ60" s="28" t="n">
        <f aca="false">AI60+AJ38</f>
        <v>295000</v>
      </c>
      <c r="AK60" s="28" t="n">
        <f aca="false">AJ60+AK38</f>
        <v>295000</v>
      </c>
      <c r="AL60" s="28" t="n">
        <f aca="false">AK60+AL38</f>
        <v>295000</v>
      </c>
      <c r="AM60" s="28" t="n">
        <f aca="false">AL60+AM38</f>
        <v>295000</v>
      </c>
      <c r="AN60" s="28" t="n">
        <f aca="false">AM60+AN38</f>
        <v>295000</v>
      </c>
      <c r="AO60" s="28" t="n">
        <f aca="false">AN60+AO38</f>
        <v>295000</v>
      </c>
      <c r="AP60" s="28" t="n">
        <f aca="false">AO60+AP38</f>
        <v>295000</v>
      </c>
      <c r="AQ60" s="28" t="n">
        <f aca="false">AP60+AQ38</f>
        <v>295000</v>
      </c>
      <c r="AR60" s="28" t="n">
        <f aca="false">AQ60+AR38</f>
        <v>295000</v>
      </c>
      <c r="AS60" s="28" t="n">
        <f aca="false">AR60+AS38</f>
        <v>295000</v>
      </c>
      <c r="AT60" s="28" t="n">
        <f aca="false">AS60+AT38</f>
        <v>295000</v>
      </c>
      <c r="AU60" s="28" t="n">
        <f aca="false">AT60+AU38</f>
        <v>295000</v>
      </c>
      <c r="AV60" s="28" t="n">
        <f aca="false">AU60+AV38</f>
        <v>295000</v>
      </c>
      <c r="AW60" s="28" t="n">
        <f aca="false">AV60+AW38</f>
        <v>295000</v>
      </c>
      <c r="AX60" s="28" t="n">
        <f aca="false">AW60+AX38</f>
        <v>295000</v>
      </c>
      <c r="AY60" s="28" t="n">
        <f aca="false">AX60+AY38</f>
        <v>295000</v>
      </c>
      <c r="AZ60" s="28" t="n">
        <f aca="false">AY60+AZ38</f>
        <v>295000</v>
      </c>
      <c r="BA60" s="28" t="n">
        <f aca="false">AZ60+BA38</f>
        <v>295000</v>
      </c>
      <c r="BB60" s="28" t="n">
        <f aca="false">BA60+BB38</f>
        <v>295000</v>
      </c>
      <c r="BC60" s="28" t="n">
        <f aca="false">BB60+BC38</f>
        <v>295000</v>
      </c>
      <c r="BD60" s="28" t="n">
        <f aca="false">BC60+BD38</f>
        <v>295000</v>
      </c>
      <c r="BE60" s="28" t="n">
        <f aca="false">BD60+BE38</f>
        <v>295000</v>
      </c>
      <c r="BF60" s="28" t="n">
        <f aca="false">BE60+BF38</f>
        <v>295000</v>
      </c>
      <c r="BG60" s="28" t="n">
        <f aca="false">BF60+BG38</f>
        <v>295000</v>
      </c>
      <c r="BH60" s="28" t="n">
        <f aca="false">BG60+BH38</f>
        <v>295000</v>
      </c>
      <c r="BI60" s="28" t="n">
        <f aca="false">BH60+BI38</f>
        <v>295000</v>
      </c>
      <c r="BJ60" s="28" t="n">
        <f aca="false">BI60+BJ38</f>
        <v>295000</v>
      </c>
    </row>
    <row r="61" customFormat="false" ht="15" hidden="false" customHeight="false" outlineLevel="0" collapsed="false">
      <c r="A61" s="4" t="s">
        <v>200</v>
      </c>
      <c r="B61" s="4"/>
      <c r="C61" s="28" t="n">
        <f aca="false">C40</f>
        <v>0</v>
      </c>
      <c r="D61" s="28" t="n">
        <f aca="false">C61+D40</f>
        <v>0</v>
      </c>
      <c r="E61" s="28" t="n">
        <f aca="false">D61+E40</f>
        <v>0</v>
      </c>
      <c r="F61" s="28" t="n">
        <f aca="false">E61+F40</f>
        <v>2833.33333333333</v>
      </c>
      <c r="G61" s="28" t="n">
        <f aca="false">F61+G40</f>
        <v>5666.66666666667</v>
      </c>
      <c r="H61" s="28" t="n">
        <f aca="false">G61+H40</f>
        <v>8500</v>
      </c>
      <c r="I61" s="28" t="n">
        <f aca="false">H61+I40</f>
        <v>11333.3333333333</v>
      </c>
      <c r="J61" s="28" t="n">
        <f aca="false">I61+J40</f>
        <v>14166.6666666667</v>
      </c>
      <c r="K61" s="28" t="n">
        <f aca="false">J61+K40</f>
        <v>17000</v>
      </c>
      <c r="L61" s="28" t="n">
        <f aca="false">K61+L40</f>
        <v>19833.3333333333</v>
      </c>
      <c r="M61" s="28" t="n">
        <f aca="false">L61+M40</f>
        <v>22666.6666666667</v>
      </c>
      <c r="N61" s="28" t="n">
        <f aca="false">M61+N40</f>
        <v>25500</v>
      </c>
      <c r="O61" s="28" t="n">
        <f aca="false">N61+O40</f>
        <v>28333.3333333333</v>
      </c>
      <c r="P61" s="28" t="n">
        <f aca="false">O61+P40</f>
        <v>31166.6666666667</v>
      </c>
      <c r="Q61" s="28" t="n">
        <f aca="false">P61+Q40</f>
        <v>34000</v>
      </c>
      <c r="R61" s="28" t="n">
        <f aca="false">Q61+R40</f>
        <v>36833.3333333333</v>
      </c>
      <c r="S61" s="28" t="n">
        <f aca="false">R61+S40</f>
        <v>39666.6666666667</v>
      </c>
      <c r="T61" s="28" t="n">
        <f aca="false">S61+T40</f>
        <v>42500</v>
      </c>
      <c r="U61" s="28" t="n">
        <f aca="false">T61+U40</f>
        <v>45333.3333333333</v>
      </c>
      <c r="V61" s="28" t="n">
        <f aca="false">U61+V40</f>
        <v>48166.6666666667</v>
      </c>
      <c r="W61" s="28" t="n">
        <f aca="false">V61+W40</f>
        <v>51000</v>
      </c>
      <c r="X61" s="28" t="n">
        <f aca="false">W61+X40</f>
        <v>53833.3333333333</v>
      </c>
      <c r="Y61" s="28" t="n">
        <f aca="false">X61+Y40</f>
        <v>56666.6666666667</v>
      </c>
      <c r="Z61" s="28" t="n">
        <f aca="false">Y61+Z40</f>
        <v>59500</v>
      </c>
      <c r="AA61" s="28" t="n">
        <f aca="false">Z61+AA40</f>
        <v>62333.3333333334</v>
      </c>
      <c r="AB61" s="28" t="n">
        <f aca="false">AA61+AB40</f>
        <v>65166.6666666667</v>
      </c>
      <c r="AC61" s="28" t="n">
        <f aca="false">AB61+AC40</f>
        <v>68000</v>
      </c>
      <c r="AD61" s="28" t="n">
        <f aca="false">AC61+AD40</f>
        <v>70833.3333333333</v>
      </c>
      <c r="AE61" s="28" t="n">
        <f aca="false">AD61+AE40</f>
        <v>73666.6666666667</v>
      </c>
      <c r="AF61" s="28" t="n">
        <f aca="false">AE61+AF40</f>
        <v>76500</v>
      </c>
      <c r="AG61" s="28" t="n">
        <f aca="false">AF61+AG40</f>
        <v>79333.3333333333</v>
      </c>
      <c r="AH61" s="28" t="n">
        <f aca="false">AG61+AH40</f>
        <v>82166.6666666667</v>
      </c>
      <c r="AI61" s="28" t="n">
        <f aca="false">AH61+AI40</f>
        <v>85000</v>
      </c>
      <c r="AJ61" s="28" t="n">
        <f aca="false">AI61+AJ40</f>
        <v>87833.3333333333</v>
      </c>
      <c r="AK61" s="28" t="n">
        <f aca="false">AJ61+AK40</f>
        <v>90666.6666666666</v>
      </c>
      <c r="AL61" s="28" t="n">
        <f aca="false">AK61+AL40</f>
        <v>93500</v>
      </c>
      <c r="AM61" s="28" t="n">
        <f aca="false">AL61+AM40</f>
        <v>96333.3333333333</v>
      </c>
      <c r="AN61" s="28" t="n">
        <f aca="false">AM61+AN40</f>
        <v>99166.6666666666</v>
      </c>
      <c r="AO61" s="28" t="n">
        <f aca="false">AN61+AO40</f>
        <v>102000</v>
      </c>
      <c r="AP61" s="28" t="n">
        <f aca="false">AO61+AP40</f>
        <v>104833.333333333</v>
      </c>
      <c r="AQ61" s="28" t="n">
        <f aca="false">AP61+AQ40</f>
        <v>107666.666666667</v>
      </c>
      <c r="AR61" s="28" t="n">
        <f aca="false">AQ61+AR40</f>
        <v>110500</v>
      </c>
      <c r="AS61" s="28" t="n">
        <f aca="false">AR61+AS40</f>
        <v>113333.333333333</v>
      </c>
      <c r="AT61" s="28" t="n">
        <f aca="false">AS61+AT40</f>
        <v>116166.666666667</v>
      </c>
      <c r="AU61" s="28" t="n">
        <f aca="false">AT61+AU40</f>
        <v>119000</v>
      </c>
      <c r="AV61" s="28" t="n">
        <f aca="false">AU61+AV40</f>
        <v>121833.333333333</v>
      </c>
      <c r="AW61" s="28" t="n">
        <f aca="false">AV61+AW40</f>
        <v>124666.666666667</v>
      </c>
      <c r="AX61" s="28" t="n">
        <f aca="false">AW61+AX40</f>
        <v>127500</v>
      </c>
      <c r="AY61" s="28" t="n">
        <f aca="false">AX61+AY40</f>
        <v>130333.333333333</v>
      </c>
      <c r="AZ61" s="28" t="n">
        <f aca="false">AY61+AZ40</f>
        <v>133166.666666667</v>
      </c>
      <c r="BA61" s="28" t="n">
        <f aca="false">AZ61+BA40</f>
        <v>136000</v>
      </c>
      <c r="BB61" s="28" t="n">
        <f aca="false">BA61+BB40</f>
        <v>138833.333333333</v>
      </c>
      <c r="BC61" s="28" t="n">
        <f aca="false">BB61+BC40</f>
        <v>141666.666666667</v>
      </c>
      <c r="BD61" s="28" t="n">
        <f aca="false">BC61+BD40</f>
        <v>144500</v>
      </c>
      <c r="BE61" s="28" t="n">
        <f aca="false">BD61+BE40</f>
        <v>147333.333333333</v>
      </c>
      <c r="BF61" s="28" t="n">
        <f aca="false">BE61+BF40</f>
        <v>150166.666666667</v>
      </c>
      <c r="BG61" s="28" t="n">
        <f aca="false">BF61+BG40</f>
        <v>153000</v>
      </c>
      <c r="BH61" s="28" t="n">
        <f aca="false">BG61+BH40</f>
        <v>155833.333333333</v>
      </c>
      <c r="BI61" s="28" t="n">
        <f aca="false">BH61+BI40</f>
        <v>158666.666666667</v>
      </c>
      <c r="BJ61" s="28" t="n">
        <f aca="false">BI61+BJ40</f>
        <v>161500</v>
      </c>
    </row>
    <row r="62" customFormat="false" ht="15" hidden="false" customHeight="false" outlineLevel="0" collapsed="false">
      <c r="A62" s="4" t="s">
        <v>201</v>
      </c>
      <c r="B62" s="4"/>
      <c r="C62" s="28" t="n">
        <f aca="false">C39</f>
        <v>0</v>
      </c>
      <c r="D62" s="28" t="n">
        <f aca="false">C62+D39</f>
        <v>0</v>
      </c>
      <c r="E62" s="28" t="n">
        <f aca="false">D62+E39</f>
        <v>265000</v>
      </c>
      <c r="F62" s="28" t="n">
        <f aca="false">E62+F39</f>
        <v>265000</v>
      </c>
      <c r="G62" s="28" t="n">
        <f aca="false">F62+G39</f>
        <v>265000</v>
      </c>
      <c r="H62" s="28" t="n">
        <f aca="false">G62+H39</f>
        <v>265000</v>
      </c>
      <c r="I62" s="28" t="n">
        <f aca="false">H62+I39</f>
        <v>265000</v>
      </c>
      <c r="J62" s="28" t="n">
        <f aca="false">I62+J39</f>
        <v>265000</v>
      </c>
      <c r="K62" s="28" t="n">
        <f aca="false">J62+K39</f>
        <v>265000</v>
      </c>
      <c r="L62" s="28" t="n">
        <f aca="false">K62+L39</f>
        <v>265000</v>
      </c>
      <c r="M62" s="28" t="n">
        <f aca="false">L62+M39</f>
        <v>265000</v>
      </c>
      <c r="N62" s="28" t="n">
        <f aca="false">M62+N39</f>
        <v>265000</v>
      </c>
      <c r="O62" s="28" t="n">
        <f aca="false">N62+O39</f>
        <v>265000</v>
      </c>
      <c r="P62" s="28" t="n">
        <f aca="false">O62+P39</f>
        <v>265000</v>
      </c>
      <c r="Q62" s="28" t="n">
        <f aca="false">P62+Q39</f>
        <v>265000</v>
      </c>
      <c r="R62" s="28" t="n">
        <f aca="false">Q62+R39</f>
        <v>265000</v>
      </c>
      <c r="S62" s="28" t="n">
        <f aca="false">R62+S39</f>
        <v>265000</v>
      </c>
      <c r="T62" s="28" t="n">
        <f aca="false">S62+T39</f>
        <v>265000</v>
      </c>
      <c r="U62" s="28" t="n">
        <f aca="false">T62+U39</f>
        <v>265000</v>
      </c>
      <c r="V62" s="28" t="n">
        <f aca="false">U62+V39</f>
        <v>265000</v>
      </c>
      <c r="W62" s="28" t="n">
        <f aca="false">V62+W39</f>
        <v>265000</v>
      </c>
      <c r="X62" s="28" t="n">
        <f aca="false">W62+X39</f>
        <v>265000</v>
      </c>
      <c r="Y62" s="28" t="n">
        <f aca="false">X62+Y39</f>
        <v>265000</v>
      </c>
      <c r="Z62" s="28" t="n">
        <f aca="false">Y62+Z39</f>
        <v>265000</v>
      </c>
      <c r="AA62" s="28" t="n">
        <f aca="false">Z62+AA39</f>
        <v>265000</v>
      </c>
      <c r="AB62" s="28" t="n">
        <f aca="false">AA62+AB39</f>
        <v>265000</v>
      </c>
      <c r="AC62" s="28" t="n">
        <f aca="false">AB62+AC39</f>
        <v>265000</v>
      </c>
      <c r="AD62" s="28" t="n">
        <f aca="false">AC62+AD39</f>
        <v>265000</v>
      </c>
      <c r="AE62" s="28" t="n">
        <f aca="false">AD62+AE39</f>
        <v>265000</v>
      </c>
      <c r="AF62" s="28" t="n">
        <f aca="false">AE62+AF39</f>
        <v>265000</v>
      </c>
      <c r="AG62" s="28" t="n">
        <f aca="false">AF62+AG39</f>
        <v>265000</v>
      </c>
      <c r="AH62" s="28" t="n">
        <f aca="false">AG62+AH39</f>
        <v>265000</v>
      </c>
      <c r="AI62" s="28" t="n">
        <f aca="false">AH62+AI39</f>
        <v>265000</v>
      </c>
      <c r="AJ62" s="28" t="n">
        <f aca="false">AI62+AJ39</f>
        <v>265000</v>
      </c>
      <c r="AK62" s="28" t="n">
        <f aca="false">AJ62+AK39</f>
        <v>265000</v>
      </c>
      <c r="AL62" s="28" t="n">
        <f aca="false">AK62+AL39</f>
        <v>265000</v>
      </c>
      <c r="AM62" s="28" t="n">
        <f aca="false">AL62+AM39</f>
        <v>265000</v>
      </c>
      <c r="AN62" s="28" t="n">
        <f aca="false">AM62+AN39</f>
        <v>265000</v>
      </c>
      <c r="AO62" s="28" t="n">
        <f aca="false">AN62+AO39</f>
        <v>265000</v>
      </c>
      <c r="AP62" s="28" t="n">
        <f aca="false">AO62+AP39</f>
        <v>265000</v>
      </c>
      <c r="AQ62" s="28" t="n">
        <f aca="false">AP62+AQ39</f>
        <v>265000</v>
      </c>
      <c r="AR62" s="28" t="n">
        <f aca="false">AQ62+AR39</f>
        <v>265000</v>
      </c>
      <c r="AS62" s="28" t="n">
        <f aca="false">AR62+AS39</f>
        <v>265000</v>
      </c>
      <c r="AT62" s="28" t="n">
        <f aca="false">AS62+AT39</f>
        <v>265000</v>
      </c>
      <c r="AU62" s="28" t="n">
        <f aca="false">AT62+AU39</f>
        <v>265000</v>
      </c>
      <c r="AV62" s="28" t="n">
        <f aca="false">AU62+AV39</f>
        <v>265000</v>
      </c>
      <c r="AW62" s="28" t="n">
        <f aca="false">AV62+AW39</f>
        <v>265000</v>
      </c>
      <c r="AX62" s="28" t="n">
        <f aca="false">AW62+AX39</f>
        <v>265000</v>
      </c>
      <c r="AY62" s="28" t="n">
        <f aca="false">AX62+AY39</f>
        <v>265000</v>
      </c>
      <c r="AZ62" s="28" t="n">
        <f aca="false">AY62+AZ39</f>
        <v>265000</v>
      </c>
      <c r="BA62" s="28" t="n">
        <f aca="false">AZ62+BA39</f>
        <v>265000</v>
      </c>
      <c r="BB62" s="28" t="n">
        <f aca="false">BA62+BB39</f>
        <v>265000</v>
      </c>
      <c r="BC62" s="28" t="n">
        <f aca="false">BB62+BC39</f>
        <v>265000</v>
      </c>
      <c r="BD62" s="28" t="n">
        <f aca="false">BC62+BD39</f>
        <v>265000</v>
      </c>
      <c r="BE62" s="28" t="n">
        <f aca="false">BD62+BE39</f>
        <v>265000</v>
      </c>
      <c r="BF62" s="28" t="n">
        <f aca="false">BE62+BF39</f>
        <v>265000</v>
      </c>
      <c r="BG62" s="28" t="n">
        <f aca="false">BF62+BG39</f>
        <v>265000</v>
      </c>
      <c r="BH62" s="28" t="n">
        <f aca="false">BG62+BH39</f>
        <v>265000</v>
      </c>
      <c r="BI62" s="28" t="n">
        <f aca="false">BH62+BI39</f>
        <v>265000</v>
      </c>
      <c r="BJ62" s="28" t="n">
        <f aca="false">BI62+BJ39</f>
        <v>265000</v>
      </c>
    </row>
    <row r="63" customFormat="false" ht="15" hidden="false" customHeight="false" outlineLevel="0" collapsed="false">
      <c r="A63" s="4" t="s">
        <v>202</v>
      </c>
      <c r="B63" s="4"/>
      <c r="C63" s="28" t="n">
        <f aca="false">C47</f>
        <v>20000</v>
      </c>
      <c r="D63" s="28" t="n">
        <f aca="false">C63+D47</f>
        <v>20000</v>
      </c>
      <c r="E63" s="28" t="n">
        <f aca="false">D63+E47</f>
        <v>20000</v>
      </c>
      <c r="F63" s="28" t="n">
        <f aca="false">E63+F47</f>
        <v>20000</v>
      </c>
      <c r="G63" s="28" t="n">
        <f aca="false">F63+G47</f>
        <v>20000</v>
      </c>
      <c r="H63" s="28" t="n">
        <f aca="false">G63+H47</f>
        <v>20000</v>
      </c>
      <c r="I63" s="28" t="n">
        <f aca="false">H63+I47</f>
        <v>20000</v>
      </c>
      <c r="J63" s="28" t="n">
        <f aca="false">I63+J47</f>
        <v>20000</v>
      </c>
      <c r="K63" s="28" t="n">
        <f aca="false">J63+K47</f>
        <v>20000</v>
      </c>
      <c r="L63" s="28" t="n">
        <f aca="false">K63+L47</f>
        <v>20000</v>
      </c>
      <c r="M63" s="28" t="n">
        <f aca="false">L63+M47</f>
        <v>20000</v>
      </c>
      <c r="N63" s="28" t="n">
        <f aca="false">M63+N47</f>
        <v>20000</v>
      </c>
      <c r="O63" s="28" t="n">
        <f aca="false">N63+O47</f>
        <v>20000</v>
      </c>
      <c r="P63" s="28" t="n">
        <f aca="false">O63+P47</f>
        <v>20000</v>
      </c>
      <c r="Q63" s="28" t="n">
        <f aca="false">P63+Q47</f>
        <v>20000</v>
      </c>
      <c r="R63" s="28" t="n">
        <f aca="false">Q63+R47</f>
        <v>20000</v>
      </c>
      <c r="S63" s="28" t="n">
        <f aca="false">R63+S47</f>
        <v>20000</v>
      </c>
      <c r="T63" s="28" t="n">
        <f aca="false">S63+T47</f>
        <v>20000</v>
      </c>
      <c r="U63" s="28" t="n">
        <f aca="false">T63+U47</f>
        <v>20000</v>
      </c>
      <c r="V63" s="28" t="n">
        <f aca="false">U63+V47</f>
        <v>20000</v>
      </c>
      <c r="W63" s="28" t="n">
        <f aca="false">V63+W47</f>
        <v>20000</v>
      </c>
      <c r="X63" s="28" t="n">
        <f aca="false">W63+X47</f>
        <v>20000</v>
      </c>
      <c r="Y63" s="28" t="n">
        <f aca="false">X63+Y47</f>
        <v>20000</v>
      </c>
      <c r="Z63" s="28" t="n">
        <f aca="false">Y63+Z47</f>
        <v>20000</v>
      </c>
      <c r="AA63" s="28" t="n">
        <f aca="false">Z63+AA47</f>
        <v>20000</v>
      </c>
      <c r="AB63" s="28" t="n">
        <f aca="false">AA63+AB47</f>
        <v>20000</v>
      </c>
      <c r="AC63" s="28" t="n">
        <f aca="false">AB63+AC47</f>
        <v>20000</v>
      </c>
      <c r="AD63" s="28" t="n">
        <f aca="false">AC63+AD47</f>
        <v>20000</v>
      </c>
      <c r="AE63" s="28" t="n">
        <f aca="false">AD63+AE47</f>
        <v>20000</v>
      </c>
      <c r="AF63" s="28" t="n">
        <f aca="false">AE63+AF47</f>
        <v>20000</v>
      </c>
      <c r="AG63" s="28" t="n">
        <f aca="false">AF63+AG47</f>
        <v>20000</v>
      </c>
      <c r="AH63" s="28" t="n">
        <f aca="false">AG63+AH47</f>
        <v>20000</v>
      </c>
      <c r="AI63" s="28" t="n">
        <f aca="false">AH63+AI47</f>
        <v>20000</v>
      </c>
      <c r="AJ63" s="28" t="n">
        <f aca="false">AI63+AJ47</f>
        <v>20000</v>
      </c>
      <c r="AK63" s="28" t="n">
        <f aca="false">AJ63+AK47</f>
        <v>20000</v>
      </c>
      <c r="AL63" s="28" t="n">
        <f aca="false">AK63+AL47</f>
        <v>20000</v>
      </c>
      <c r="AM63" s="28" t="n">
        <f aca="false">AL63+AM47</f>
        <v>20000</v>
      </c>
      <c r="AN63" s="28" t="n">
        <f aca="false">AM63+AN47</f>
        <v>20000</v>
      </c>
      <c r="AO63" s="28" t="n">
        <f aca="false">AN63+AO47</f>
        <v>20000</v>
      </c>
      <c r="AP63" s="28" t="n">
        <f aca="false">AO63+AP47</f>
        <v>20000</v>
      </c>
      <c r="AQ63" s="28" t="n">
        <f aca="false">AP63+AQ47</f>
        <v>20000</v>
      </c>
      <c r="AR63" s="28" t="n">
        <f aca="false">AQ63+AR47</f>
        <v>20000</v>
      </c>
      <c r="AS63" s="28" t="n">
        <f aca="false">AR63+AS47</f>
        <v>20000</v>
      </c>
      <c r="AT63" s="28" t="n">
        <f aca="false">AS63+AT47</f>
        <v>20000</v>
      </c>
      <c r="AU63" s="28" t="n">
        <f aca="false">AT63+AU47</f>
        <v>20000</v>
      </c>
      <c r="AV63" s="28" t="n">
        <f aca="false">AU63+AV47</f>
        <v>20000</v>
      </c>
      <c r="AW63" s="28" t="n">
        <f aca="false">AV63+AW47</f>
        <v>20000</v>
      </c>
      <c r="AX63" s="28" t="n">
        <f aca="false">AW63+AX47</f>
        <v>20000</v>
      </c>
      <c r="AY63" s="28" t="n">
        <f aca="false">AX63+AY47</f>
        <v>20000</v>
      </c>
      <c r="AZ63" s="28" t="n">
        <f aca="false">AY63+AZ47</f>
        <v>20000</v>
      </c>
      <c r="BA63" s="28" t="n">
        <f aca="false">AZ63+BA47</f>
        <v>20000</v>
      </c>
      <c r="BB63" s="28" t="n">
        <f aca="false">BA63+BB47</f>
        <v>20000</v>
      </c>
      <c r="BC63" s="28" t="n">
        <f aca="false">BB63+BC47</f>
        <v>20000</v>
      </c>
      <c r="BD63" s="28" t="n">
        <f aca="false">BC63+BD47</f>
        <v>20000</v>
      </c>
      <c r="BE63" s="28" t="n">
        <f aca="false">BD63+BE47</f>
        <v>20000</v>
      </c>
      <c r="BF63" s="28" t="n">
        <f aca="false">BE63+BF47</f>
        <v>20000</v>
      </c>
      <c r="BG63" s="28" t="n">
        <f aca="false">BF63+BG47</f>
        <v>20000</v>
      </c>
      <c r="BH63" s="28" t="n">
        <f aca="false">BG63+BH47</f>
        <v>20000</v>
      </c>
      <c r="BI63" s="28" t="n">
        <f aca="false">BH63+BI47</f>
        <v>20000</v>
      </c>
      <c r="BJ63" s="28" t="n">
        <f aca="false">BI63+BJ47</f>
        <v>20000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4"/>
  </cols>
  <sheetData>
    <row r="1" customFormat="false" ht="15" hidden="false" customHeight="false" outlineLevel="0" collapsed="false">
      <c r="A1" s="1" t="s">
        <v>203</v>
      </c>
    </row>
    <row r="3" customFormat="false" ht="15" hidden="false" customHeight="false" outlineLevel="0" collapsed="false">
      <c r="A3" s="3" t="s">
        <v>100</v>
      </c>
      <c r="B3" s="29" t="s">
        <v>204</v>
      </c>
      <c r="C3" s="29" t="s">
        <v>205</v>
      </c>
      <c r="D3" s="29" t="s">
        <v>206</v>
      </c>
      <c r="E3" s="29" t="s">
        <v>207</v>
      </c>
      <c r="F3" s="29" t="s">
        <v>208</v>
      </c>
      <c r="G3" s="3" t="s">
        <v>209</v>
      </c>
    </row>
    <row r="4" customFormat="false" ht="15" hidden="false" customHeight="false" outlineLevel="0" collapsed="false">
      <c r="A4" s="15" t="s">
        <v>210</v>
      </c>
      <c r="B4" s="16"/>
      <c r="C4" s="16"/>
      <c r="D4" s="16"/>
      <c r="E4" s="16"/>
      <c r="F4" s="16"/>
      <c r="G4" s="16"/>
    </row>
    <row r="5" customFormat="false" ht="15" hidden="false" customHeight="false" outlineLevel="0" collapsed="false">
      <c r="A5" s="4" t="s">
        <v>157</v>
      </c>
      <c r="B5" s="28" t="n">
        <f aca="false">SUMIF(Monthly!$C$4:$BJ$4,1,Monthly!$C$14:$BJ$14)</f>
        <v>607500</v>
      </c>
      <c r="C5" s="28" t="n">
        <f aca="false">SUMIF(Monthly!$C$4:$BJ$4,2,Monthly!$C$14:$BJ$14)</f>
        <v>907200</v>
      </c>
      <c r="D5" s="28" t="n">
        <f aca="false">SUMIF(Monthly!$C$4:$BJ$4,3,Monthly!$C$14:$BJ$14)</f>
        <v>1016064</v>
      </c>
      <c r="E5" s="28" t="n">
        <f aca="false">SUMIF(Monthly!$C$4:$BJ$4,4,Monthly!$C$14:$BJ$14)</f>
        <v>1137991.68</v>
      </c>
      <c r="F5" s="28" t="n">
        <f aca="false">SUMIF(Monthly!$C$4:$BJ$4,5,Monthly!$C$14:$BJ$14)</f>
        <v>1274550.6816</v>
      </c>
      <c r="G5" s="28" t="n">
        <f aca="false">SUM(B5:F5)</f>
        <v>4943306.3616</v>
      </c>
    </row>
    <row r="6" customFormat="false" ht="15" hidden="false" customHeight="false" outlineLevel="0" collapsed="false">
      <c r="A6" s="7" t="s">
        <v>211</v>
      </c>
      <c r="B6" s="20" t="n">
        <f aca="false">B5</f>
        <v>607500</v>
      </c>
      <c r="C6" s="20" t="n">
        <f aca="false">C5</f>
        <v>907200</v>
      </c>
      <c r="D6" s="20" t="n">
        <f aca="false">D5</f>
        <v>1016064</v>
      </c>
      <c r="E6" s="20" t="n">
        <f aca="false">E5</f>
        <v>1137991.68</v>
      </c>
      <c r="F6" s="20" t="n">
        <f aca="false">F5</f>
        <v>1274550.6816</v>
      </c>
      <c r="G6" s="20" t="n">
        <f aca="false">SUM(B6:F6)</f>
        <v>4943306.3616</v>
      </c>
    </row>
    <row r="7" customFormat="false" ht="15" hidden="false" customHeight="false" outlineLevel="0" collapsed="false">
      <c r="A7" s="4" t="s">
        <v>161</v>
      </c>
      <c r="B7" s="28" t="n">
        <f aca="false">SUMIF(Monthly!$C$4:$BJ$4,1,Monthly!$C$18:$BJ$18)</f>
        <v>150000</v>
      </c>
      <c r="C7" s="28" t="n">
        <f aca="false">SUMIF(Monthly!$C$4:$BJ$4,2,Monthly!$C$18:$BJ$18)</f>
        <v>224000</v>
      </c>
      <c r="D7" s="28" t="n">
        <f aca="false">SUMIF(Monthly!$C$4:$BJ$4,3,Monthly!$C$18:$BJ$18)</f>
        <v>250880</v>
      </c>
      <c r="E7" s="28" t="n">
        <f aca="false">SUMIF(Monthly!$C$4:$BJ$4,4,Monthly!$C$18:$BJ$18)</f>
        <v>280985.6</v>
      </c>
      <c r="F7" s="28" t="n">
        <f aca="false">SUMIF(Monthly!$C$4:$BJ$4,5,Monthly!$C$18:$BJ$18)</f>
        <v>314703.872</v>
      </c>
      <c r="G7" s="28" t="n">
        <f aca="false">SUM(B7:F7)</f>
        <v>1220569.472</v>
      </c>
    </row>
    <row r="8" customFormat="false" ht="15" hidden="false" customHeight="false" outlineLevel="0" collapsed="false">
      <c r="A8" s="4" t="s">
        <v>162</v>
      </c>
      <c r="B8" s="28" t="n">
        <f aca="false">SUMIF(Monthly!$C$4:$BJ$4,1,Monthly!$C$19:$BJ$19)</f>
        <v>204000</v>
      </c>
      <c r="C8" s="28" t="n">
        <f aca="false">SUMIF(Monthly!$C$4:$BJ$4,2,Monthly!$C$19:$BJ$19)</f>
        <v>304640</v>
      </c>
      <c r="D8" s="28" t="n">
        <f aca="false">SUMIF(Monthly!$C$4:$BJ$4,3,Monthly!$C$19:$BJ$19)</f>
        <v>341196.8</v>
      </c>
      <c r="E8" s="28" t="n">
        <f aca="false">SUMIF(Monthly!$C$4:$BJ$4,4,Monthly!$C$19:$BJ$19)</f>
        <v>382140.416</v>
      </c>
      <c r="F8" s="28" t="n">
        <f aca="false">SUMIF(Monthly!$C$4:$BJ$4,5,Monthly!$C$19:$BJ$19)</f>
        <v>427997.26592</v>
      </c>
      <c r="G8" s="28" t="n">
        <f aca="false">SUM(B8:F8)</f>
        <v>1659974.48192</v>
      </c>
    </row>
    <row r="9" customFormat="false" ht="15" hidden="false" customHeight="false" outlineLevel="0" collapsed="false">
      <c r="A9" s="4" t="s">
        <v>70</v>
      </c>
      <c r="B9" s="28" t="n">
        <f aca="false">SUMIF(Monthly!$C$4:$BJ$4,1,Monthly!$C$20:$BJ$20)</f>
        <v>18000</v>
      </c>
      <c r="C9" s="28" t="n">
        <f aca="false">SUMIF(Monthly!$C$4:$BJ$4,2,Monthly!$C$20:$BJ$20)</f>
        <v>26880</v>
      </c>
      <c r="D9" s="28" t="n">
        <f aca="false">SUMIF(Monthly!$C$4:$BJ$4,3,Monthly!$C$20:$BJ$20)</f>
        <v>30105.6</v>
      </c>
      <c r="E9" s="28" t="n">
        <f aca="false">SUMIF(Monthly!$C$4:$BJ$4,4,Monthly!$C$20:$BJ$20)</f>
        <v>33718.272</v>
      </c>
      <c r="F9" s="28" t="n">
        <f aca="false">SUMIF(Monthly!$C$4:$BJ$4,5,Monthly!$C$20:$BJ$20)</f>
        <v>37764.46464</v>
      </c>
      <c r="G9" s="28" t="n">
        <f aca="false">SUM(B9:F9)</f>
        <v>146468.33664</v>
      </c>
    </row>
    <row r="10" customFormat="false" ht="15" hidden="false" customHeight="false" outlineLevel="0" collapsed="false">
      <c r="A10" s="4" t="s">
        <v>163</v>
      </c>
      <c r="B10" s="28" t="n">
        <f aca="false">SUMIF(Monthly!$C$4:$BJ$4,1,Monthly!$C$21:$BJ$21)</f>
        <v>9000</v>
      </c>
      <c r="C10" s="28" t="n">
        <f aca="false">SUMIF(Monthly!$C$4:$BJ$4,2,Monthly!$C$21:$BJ$21)</f>
        <v>13440</v>
      </c>
      <c r="D10" s="28" t="n">
        <f aca="false">SUMIF(Monthly!$C$4:$BJ$4,3,Monthly!$C$21:$BJ$21)</f>
        <v>15052.8</v>
      </c>
      <c r="E10" s="28" t="n">
        <f aca="false">SUMIF(Monthly!$C$4:$BJ$4,4,Monthly!$C$21:$BJ$21)</f>
        <v>16859.136</v>
      </c>
      <c r="F10" s="28" t="n">
        <f aca="false">SUMIF(Monthly!$C$4:$BJ$4,5,Monthly!$C$21:$BJ$21)</f>
        <v>18882.23232</v>
      </c>
      <c r="G10" s="28" t="n">
        <f aca="false">SUM(B10:F10)</f>
        <v>73234.16832</v>
      </c>
    </row>
    <row r="11" customFormat="false" ht="15" hidden="false" customHeight="false" outlineLevel="0" collapsed="false">
      <c r="A11" s="4" t="s">
        <v>164</v>
      </c>
      <c r="B11" s="28" t="n">
        <f aca="false">SUMIF(Monthly!$C$4:$BJ$4,1,Monthly!$C$22:$BJ$22)</f>
        <v>4500</v>
      </c>
      <c r="C11" s="28" t="n">
        <f aca="false">SUMIF(Monthly!$C$4:$BJ$4,2,Monthly!$C$22:$BJ$22)</f>
        <v>6720</v>
      </c>
      <c r="D11" s="28" t="n">
        <f aca="false">SUMIF(Monthly!$C$4:$BJ$4,3,Monthly!$C$22:$BJ$22)</f>
        <v>7526.4</v>
      </c>
      <c r="E11" s="28" t="n">
        <f aca="false">SUMIF(Monthly!$C$4:$BJ$4,4,Monthly!$C$22:$BJ$22)</f>
        <v>8429.568</v>
      </c>
      <c r="F11" s="28" t="n">
        <f aca="false">SUMIF(Monthly!$C$4:$BJ$4,5,Monthly!$C$22:$BJ$22)</f>
        <v>9441.11616</v>
      </c>
      <c r="G11" s="28" t="n">
        <f aca="false">SUM(B11:F11)</f>
        <v>36617.08416</v>
      </c>
    </row>
    <row r="12" customFormat="false" ht="15" hidden="false" customHeight="false" outlineLevel="0" collapsed="false">
      <c r="A12" s="4" t="s">
        <v>78</v>
      </c>
      <c r="B12" s="28" t="n">
        <f aca="false">SUMIF(Monthly!$C$4:$BJ$4,1,Monthly!$C$23:$BJ$23)</f>
        <v>12000</v>
      </c>
      <c r="C12" s="28" t="n">
        <f aca="false">SUMIF(Monthly!$C$4:$BJ$4,2,Monthly!$C$23:$BJ$23)</f>
        <v>17920</v>
      </c>
      <c r="D12" s="28" t="n">
        <f aca="false">SUMIF(Monthly!$C$4:$BJ$4,3,Monthly!$C$23:$BJ$23)</f>
        <v>20070.4</v>
      </c>
      <c r="E12" s="28" t="n">
        <f aca="false">SUMIF(Monthly!$C$4:$BJ$4,4,Monthly!$C$23:$BJ$23)</f>
        <v>22478.848</v>
      </c>
      <c r="F12" s="28" t="n">
        <f aca="false">SUMIF(Monthly!$C$4:$BJ$4,5,Monthly!$C$23:$BJ$23)</f>
        <v>25176.30976</v>
      </c>
      <c r="G12" s="28" t="n">
        <f aca="false">SUM(B12:F12)</f>
        <v>97645.55776</v>
      </c>
    </row>
    <row r="13" customFormat="false" ht="15" hidden="false" customHeight="false" outlineLevel="0" collapsed="false">
      <c r="A13" s="7" t="s">
        <v>212</v>
      </c>
      <c r="B13" s="20" t="n">
        <f aca="false">B7+B8+B9+B10+B11+B12</f>
        <v>397500</v>
      </c>
      <c r="C13" s="20" t="n">
        <f aca="false">C7+C8+C9+C10+C11+C12</f>
        <v>593600</v>
      </c>
      <c r="D13" s="20" t="n">
        <f aca="false">D7+D8+D9+D10+D11+D12</f>
        <v>664832</v>
      </c>
      <c r="E13" s="20" t="n">
        <f aca="false">E7+E8+E9+E10+E11+E12</f>
        <v>744611.84</v>
      </c>
      <c r="F13" s="20" t="n">
        <f aca="false">F7+F8+F9+F10+F11+F12</f>
        <v>833965.2608</v>
      </c>
      <c r="G13" s="20" t="n">
        <f aca="false">SUM(B13:F13)</f>
        <v>3234509.1008</v>
      </c>
    </row>
    <row r="14" customFormat="false" ht="15" hidden="false" customHeight="false" outlineLevel="0" collapsed="false">
      <c r="A14" s="7" t="s">
        <v>213</v>
      </c>
      <c r="B14" s="20" t="n">
        <f aca="false">B6-B13</f>
        <v>210000</v>
      </c>
      <c r="C14" s="20" t="n">
        <f aca="false">C6-C13</f>
        <v>313600</v>
      </c>
      <c r="D14" s="20" t="n">
        <f aca="false">D6-D13</f>
        <v>351232</v>
      </c>
      <c r="E14" s="20" t="n">
        <f aca="false">E6-E13</f>
        <v>393379.84</v>
      </c>
      <c r="F14" s="20" t="n">
        <f aca="false">F6-F13</f>
        <v>440585.4208</v>
      </c>
      <c r="G14" s="20" t="n">
        <f aca="false">SUM(B14:F14)</f>
        <v>1708797.2608</v>
      </c>
    </row>
    <row r="15" customFormat="false" ht="15" hidden="false" customHeight="false" outlineLevel="0" collapsed="false">
      <c r="A15" s="4" t="s">
        <v>214</v>
      </c>
      <c r="B15" s="30" t="n">
        <f aca="false">IF(B6=0,0,B14/B6)</f>
        <v>0.345679012345679</v>
      </c>
      <c r="C15" s="30" t="n">
        <f aca="false">IF(C6=0,0,C14/C6)</f>
        <v>0.345679012345679</v>
      </c>
      <c r="D15" s="30" t="n">
        <f aca="false">IF(D6=0,0,D14/D6)</f>
        <v>0.345679012345679</v>
      </c>
      <c r="E15" s="30" t="n">
        <f aca="false">IF(E6=0,0,E14/E6)</f>
        <v>0.345679012345679</v>
      </c>
      <c r="F15" s="30" t="n">
        <f aca="false">IF(F6=0,0,F14/F6)</f>
        <v>0.345679012345679</v>
      </c>
    </row>
    <row r="16" customFormat="false" ht="15" hidden="false" customHeight="false" outlineLevel="0" collapsed="false">
      <c r="A16" s="4" t="s">
        <v>170</v>
      </c>
      <c r="B16" s="28" t="n">
        <f aca="false">SUMIF(Monthly!$C$4:$BJ$4,1,Monthly!$C$29:$BJ$29)</f>
        <v>81000</v>
      </c>
      <c r="C16" s="28" t="n">
        <f aca="false">SUMIF(Monthly!$C$4:$BJ$4,2,Monthly!$C$29:$BJ$29)</f>
        <v>120960</v>
      </c>
      <c r="D16" s="28" t="n">
        <f aca="false">SUMIF(Monthly!$C$4:$BJ$4,3,Monthly!$C$29:$BJ$29)</f>
        <v>135475.2</v>
      </c>
      <c r="E16" s="28" t="n">
        <f aca="false">SUMIF(Monthly!$C$4:$BJ$4,4,Monthly!$C$29:$BJ$29)</f>
        <v>151732.224</v>
      </c>
      <c r="F16" s="28" t="n">
        <f aca="false">SUMIF(Monthly!$C$4:$BJ$4,5,Monthly!$C$29:$BJ$29)</f>
        <v>169940.09088</v>
      </c>
      <c r="G16" s="28" t="n">
        <f aca="false">SUM(B16:F16)</f>
        <v>659107.51488</v>
      </c>
    </row>
    <row r="17" customFormat="false" ht="15" hidden="false" customHeight="false" outlineLevel="0" collapsed="false">
      <c r="A17" s="4" t="s">
        <v>95</v>
      </c>
      <c r="B17" s="28" t="n">
        <f aca="false">SUMIF(Monthly!$C$4:$BJ$4,1,Monthly!$C$30:$BJ$30)</f>
        <v>5400</v>
      </c>
      <c r="C17" s="28" t="n">
        <f aca="false">SUMIF(Monthly!$C$4:$BJ$4,2,Monthly!$C$30:$BJ$30)</f>
        <v>8064</v>
      </c>
      <c r="D17" s="28" t="n">
        <f aca="false">SUMIF(Monthly!$C$4:$BJ$4,3,Monthly!$C$30:$BJ$30)</f>
        <v>9031.68</v>
      </c>
      <c r="E17" s="28" t="n">
        <f aca="false">SUMIF(Monthly!$C$4:$BJ$4,4,Monthly!$C$30:$BJ$30)</f>
        <v>10115.4816</v>
      </c>
      <c r="F17" s="28" t="n">
        <f aca="false">SUMIF(Monthly!$C$4:$BJ$4,5,Monthly!$C$30:$BJ$30)</f>
        <v>11329.339392</v>
      </c>
      <c r="G17" s="28" t="n">
        <f aca="false">SUM(B17:F17)</f>
        <v>43940.500992</v>
      </c>
    </row>
    <row r="18" customFormat="false" ht="15" hidden="false" customHeight="false" outlineLevel="0" collapsed="false">
      <c r="A18" s="4" t="s">
        <v>171</v>
      </c>
      <c r="B18" s="28" t="n">
        <f aca="false">SUMIF(Monthly!$C$4:$BJ$4,1,Monthly!$C$31:$BJ$31)</f>
        <v>7200</v>
      </c>
      <c r="C18" s="28" t="n">
        <f aca="false">SUMIF(Monthly!$C$4:$BJ$4,2,Monthly!$C$31:$BJ$31)</f>
        <v>10752</v>
      </c>
      <c r="D18" s="28" t="n">
        <f aca="false">SUMIF(Monthly!$C$4:$BJ$4,3,Monthly!$C$31:$BJ$31)</f>
        <v>12042.24</v>
      </c>
      <c r="E18" s="28" t="n">
        <f aca="false">SUMIF(Monthly!$C$4:$BJ$4,4,Monthly!$C$31:$BJ$31)</f>
        <v>13487.3088</v>
      </c>
      <c r="F18" s="28" t="n">
        <f aca="false">SUMIF(Monthly!$C$4:$BJ$4,5,Monthly!$C$31:$BJ$31)</f>
        <v>15105.785856</v>
      </c>
      <c r="G18" s="28" t="n">
        <f aca="false">SUM(B18:F18)</f>
        <v>58587.334656</v>
      </c>
    </row>
    <row r="19" customFormat="false" ht="15" hidden="false" customHeight="false" outlineLevel="0" collapsed="false">
      <c r="A19" s="4" t="s">
        <v>97</v>
      </c>
      <c r="B19" s="28" t="n">
        <f aca="false">SUMIF(Monthly!$C$4:$BJ$4,1,Monthly!$C$32:$BJ$32)</f>
        <v>11062.5</v>
      </c>
      <c r="C19" s="28" t="n">
        <f aca="false">SUMIF(Monthly!$C$4:$BJ$4,2,Monthly!$C$32:$BJ$32)</f>
        <v>16520</v>
      </c>
      <c r="D19" s="28" t="n">
        <f aca="false">SUMIF(Monthly!$C$4:$BJ$4,3,Monthly!$C$32:$BJ$32)</f>
        <v>18502.4</v>
      </c>
      <c r="E19" s="28" t="n">
        <f aca="false">SUMIF(Monthly!$C$4:$BJ$4,4,Monthly!$C$32:$BJ$32)</f>
        <v>20722.688</v>
      </c>
      <c r="F19" s="28" t="n">
        <f aca="false">SUMIF(Monthly!$C$4:$BJ$4,5,Monthly!$C$32:$BJ$32)</f>
        <v>23209.41056</v>
      </c>
      <c r="G19" s="28" t="n">
        <f aca="false">SUM(B19:F19)</f>
        <v>90016.99856</v>
      </c>
    </row>
    <row r="20" customFormat="false" ht="15" hidden="false" customHeight="false" outlineLevel="0" collapsed="false">
      <c r="A20" s="4" t="s">
        <v>172</v>
      </c>
      <c r="B20" s="28" t="n">
        <f aca="false">SUMIF(Monthly!$C$4:$BJ$4,1,Monthly!$C$33:$BJ$33)</f>
        <v>3000</v>
      </c>
      <c r="C20" s="28" t="n">
        <f aca="false">SUMIF(Monthly!$C$4:$BJ$4,2,Monthly!$C$33:$BJ$33)</f>
        <v>2240</v>
      </c>
      <c r="D20" s="28" t="n">
        <f aca="false">SUMIF(Monthly!$C$4:$BJ$4,3,Monthly!$C$33:$BJ$33)</f>
        <v>2508.8</v>
      </c>
      <c r="E20" s="28" t="n">
        <f aca="false">SUMIF(Monthly!$C$4:$BJ$4,4,Monthly!$C$33:$BJ$33)</f>
        <v>2809.856</v>
      </c>
      <c r="F20" s="28" t="n">
        <f aca="false">SUMIF(Monthly!$C$4:$BJ$4,5,Monthly!$C$33:$BJ$33)</f>
        <v>3147.03872</v>
      </c>
      <c r="G20" s="28" t="n">
        <f aca="false">SUM(B20:F20)</f>
        <v>13705.69472</v>
      </c>
    </row>
    <row r="21" customFormat="false" ht="15" hidden="false" customHeight="false" outlineLevel="0" collapsed="false">
      <c r="A21" s="7" t="s">
        <v>215</v>
      </c>
      <c r="B21" s="20" t="n">
        <f aca="false">B16+B17+B18+B19+B20</f>
        <v>107662.5</v>
      </c>
      <c r="C21" s="20" t="n">
        <f aca="false">C16+C17+C18+C19+C20</f>
        <v>158536</v>
      </c>
      <c r="D21" s="20" t="n">
        <f aca="false">D16+D17+D18+D19+D20</f>
        <v>177560.32</v>
      </c>
      <c r="E21" s="20" t="n">
        <f aca="false">E16+E17+E18+E19+E20</f>
        <v>198867.5584</v>
      </c>
      <c r="F21" s="20" t="n">
        <f aca="false">F16+F17+F18+F19+F20</f>
        <v>222731.665408</v>
      </c>
      <c r="G21" s="20" t="n">
        <f aca="false">SUM(B21:F21)</f>
        <v>865358.043808</v>
      </c>
    </row>
    <row r="22" customFormat="false" ht="15" hidden="false" customHeight="false" outlineLevel="0" collapsed="false">
      <c r="A22" s="7" t="s">
        <v>175</v>
      </c>
      <c r="B22" s="20" t="n">
        <f aca="false">B14-B21</f>
        <v>102337.5</v>
      </c>
      <c r="C22" s="20" t="n">
        <f aca="false">C14-C21</f>
        <v>155064</v>
      </c>
      <c r="D22" s="20" t="n">
        <f aca="false">D14-D21</f>
        <v>173671.68</v>
      </c>
      <c r="E22" s="20" t="n">
        <f aca="false">E14-E21</f>
        <v>194512.2816</v>
      </c>
      <c r="F22" s="20" t="n">
        <f aca="false">F14-F21</f>
        <v>217853.755392</v>
      </c>
      <c r="G22" s="20" t="n">
        <f aca="false">SUM(B22:F22)</f>
        <v>843439.216992</v>
      </c>
    </row>
    <row r="23" customFormat="false" ht="15" hidden="false" customHeight="false" outlineLevel="0" collapsed="false">
      <c r="A23" s="4" t="s">
        <v>179</v>
      </c>
      <c r="B23" s="28" t="n">
        <f aca="false">SUMIF(Monthly!$C$4:$BJ$4,1,Monthly!$C$40:$BJ$40)</f>
        <v>25500</v>
      </c>
      <c r="C23" s="28" t="n">
        <f aca="false">SUMIF(Monthly!$C$4:$BJ$4,2,Monthly!$C$40:$BJ$40)</f>
        <v>34000</v>
      </c>
      <c r="D23" s="28" t="n">
        <f aca="false">SUMIF(Monthly!$C$4:$BJ$4,3,Monthly!$C$40:$BJ$40)</f>
        <v>34000</v>
      </c>
      <c r="E23" s="28" t="n">
        <f aca="false">SUMIF(Monthly!$C$4:$BJ$4,4,Monthly!$C$40:$BJ$40)</f>
        <v>34000</v>
      </c>
      <c r="F23" s="28" t="n">
        <f aca="false">SUMIF(Monthly!$C$4:$BJ$4,5,Monthly!$C$40:$BJ$40)</f>
        <v>34000</v>
      </c>
      <c r="G23" s="28" t="n">
        <f aca="false">SUM(B23:F23)</f>
        <v>161500</v>
      </c>
    </row>
    <row r="24" customFormat="false" ht="15" hidden="false" customHeight="false" outlineLevel="0" collapsed="false">
      <c r="A24" s="7" t="s">
        <v>216</v>
      </c>
      <c r="B24" s="20" t="n">
        <f aca="false">B22-B23</f>
        <v>76837.5</v>
      </c>
      <c r="C24" s="20" t="n">
        <f aca="false">C22-C23</f>
        <v>121064</v>
      </c>
      <c r="D24" s="20" t="n">
        <f aca="false">D22-D23</f>
        <v>139671.68</v>
      </c>
      <c r="E24" s="20" t="n">
        <f aca="false">E22-E23</f>
        <v>160512.2816</v>
      </c>
      <c r="F24" s="20" t="n">
        <f aca="false">F22-F23</f>
        <v>183853.755392</v>
      </c>
      <c r="G24" s="20" t="n">
        <f aca="false">SUM(B24:F24)</f>
        <v>681939.216992</v>
      </c>
    </row>
    <row r="25" customFormat="false" ht="15" hidden="false" customHeight="false" outlineLevel="0" collapsed="false">
      <c r="A25" s="4" t="s">
        <v>217</v>
      </c>
      <c r="B25" s="28" t="n">
        <f aca="false">SUMIF(Monthly!$C$4:$BJ$4,1,Monthly!$C$44:$BJ$44)</f>
        <v>14618.4914030364</v>
      </c>
      <c r="C25" s="28" t="n">
        <f aca="false">SUMIF(Monthly!$C$4:$BJ$4,2,Monthly!$C$44:$BJ$44)</f>
        <v>7359.74923391789</v>
      </c>
      <c r="D25" s="28" t="n">
        <f aca="false">SUMIF(Monthly!$C$4:$BJ$4,3,Monthly!$C$44:$BJ$44)</f>
        <v>6.40284270048142E-012</v>
      </c>
      <c r="E25" s="28" t="n">
        <f aca="false">SUMIF(Monthly!$C$4:$BJ$4,4,Monthly!$C$44:$BJ$44)</f>
        <v>6.40284270048142E-012</v>
      </c>
      <c r="F25" s="28" t="n">
        <f aca="false">SUMIF(Monthly!$C$4:$BJ$4,5,Monthly!$C$44:$BJ$44)</f>
        <v>6.40284270048142E-012</v>
      </c>
      <c r="G25" s="28" t="n">
        <f aca="false">SUM(B25:F25)</f>
        <v>21978.2406369543</v>
      </c>
    </row>
    <row r="26" customFormat="false" ht="15" hidden="false" customHeight="false" outlineLevel="0" collapsed="false">
      <c r="A26" s="7" t="s">
        <v>218</v>
      </c>
      <c r="B26" s="20" t="n">
        <f aca="false">B24-B25</f>
        <v>62219.0085969636</v>
      </c>
      <c r="C26" s="20" t="n">
        <f aca="false">C24-C25</f>
        <v>113704.250766082</v>
      </c>
      <c r="D26" s="20" t="n">
        <f aca="false">D24-D25</f>
        <v>139671.68</v>
      </c>
      <c r="E26" s="20" t="n">
        <f aca="false">E24-E25</f>
        <v>160512.2816</v>
      </c>
      <c r="F26" s="20" t="n">
        <f aca="false">F24-F25</f>
        <v>183853.755392</v>
      </c>
      <c r="G26" s="20" t="n">
        <f aca="false">SUM(B26:F26)</f>
        <v>659960.976355046</v>
      </c>
    </row>
    <row r="27" customFormat="false" ht="15" hidden="false" customHeight="false" outlineLevel="0" collapsed="false">
      <c r="A27" s="4" t="s">
        <v>219</v>
      </c>
      <c r="B27" s="28" t="n">
        <f aca="false">SUMIF(Monthly!$C$4:$BJ$4,1,Monthly!$C$25:$BJ$25)</f>
        <v>57000</v>
      </c>
      <c r="C27" s="28" t="n">
        <f aca="false">SUMIF(Monthly!$C$4:$BJ$4,2,Monthly!$C$25:$BJ$25)</f>
        <v>0</v>
      </c>
      <c r="D27" s="28" t="n">
        <f aca="false">SUMIF(Monthly!$C$4:$BJ$4,3,Monthly!$C$25:$BJ$25)</f>
        <v>0</v>
      </c>
      <c r="E27" s="28" t="n">
        <f aca="false">SUMIF(Monthly!$C$4:$BJ$4,4,Monthly!$C$25:$BJ$25)</f>
        <v>0</v>
      </c>
      <c r="F27" s="28" t="n">
        <f aca="false">SUMIF(Monthly!$C$4:$BJ$4,5,Monthly!$C$25:$BJ$25)</f>
        <v>0</v>
      </c>
      <c r="G27" s="28" t="n">
        <f aca="false">SUM(B27:F27)</f>
        <v>57000</v>
      </c>
    </row>
    <row r="28" customFormat="false" ht="15" hidden="false" customHeight="false" outlineLevel="0" collapsed="false">
      <c r="A28" s="7" t="s">
        <v>220</v>
      </c>
      <c r="B28" s="20" t="n">
        <f aca="false">B26+B27</f>
        <v>119219.008596964</v>
      </c>
      <c r="C28" s="20" t="n">
        <f aca="false">C26+C27</f>
        <v>113704.250766082</v>
      </c>
      <c r="D28" s="20" t="n">
        <f aca="false">D26+D27</f>
        <v>139671.68</v>
      </c>
      <c r="E28" s="20" t="n">
        <f aca="false">E26+E27</f>
        <v>160512.2816</v>
      </c>
      <c r="F28" s="20" t="n">
        <f aca="false">F26+F27</f>
        <v>183853.755392</v>
      </c>
      <c r="G28" s="20" t="n">
        <f aca="false">SUM(B28:F28)</f>
        <v>716960.976355046</v>
      </c>
    </row>
    <row r="29" customFormat="false" ht="15" hidden="false" customHeight="false" outlineLevel="0" collapsed="false">
      <c r="A29" s="4" t="s">
        <v>221</v>
      </c>
      <c r="B29" s="28" t="n">
        <f aca="false">MAX(0,B28)*Assumptions!$F$51</f>
        <v>11921.9008596964</v>
      </c>
      <c r="C29" s="28" t="n">
        <f aca="false">MAX(0,C28)*Assumptions!$F$51</f>
        <v>11370.4250766082</v>
      </c>
      <c r="D29" s="28" t="n">
        <f aca="false">MAX(0,D28)*Assumptions!$F$51</f>
        <v>13967.168</v>
      </c>
      <c r="E29" s="28" t="n">
        <f aca="false">MAX(0,E28)*Assumptions!$F$51</f>
        <v>16051.22816</v>
      </c>
      <c r="F29" s="28" t="n">
        <f aca="false">MAX(0,F28)*Assumptions!$F$51</f>
        <v>18385.3755392</v>
      </c>
      <c r="G29" s="28" t="n">
        <f aca="false">SUM(B29:F29)</f>
        <v>71696.0976355046</v>
      </c>
    </row>
    <row r="30" customFormat="false" ht="15" hidden="false" customHeight="false" outlineLevel="0" collapsed="false">
      <c r="A30" s="7" t="s">
        <v>222</v>
      </c>
      <c r="B30" s="20" t="n">
        <f aca="false">B28-B29</f>
        <v>107297.107737267</v>
      </c>
      <c r="C30" s="20" t="n">
        <f aca="false">C28-C29</f>
        <v>102333.825689474</v>
      </c>
      <c r="D30" s="20" t="n">
        <f aca="false">D28-D29</f>
        <v>125704.512</v>
      </c>
      <c r="E30" s="20" t="n">
        <f aca="false">E28-E29</f>
        <v>144461.05344</v>
      </c>
      <c r="F30" s="20" t="n">
        <f aca="false">F28-F29</f>
        <v>165468.3798528</v>
      </c>
      <c r="G30" s="20" t="n">
        <f aca="false">SUM(B30:F30)</f>
        <v>645264.878719541</v>
      </c>
    </row>
    <row r="31" customFormat="false" ht="15" hidden="false" customHeight="false" outlineLevel="0" collapsed="false">
      <c r="A31" s="4" t="s">
        <v>223</v>
      </c>
      <c r="B31" s="28" t="n">
        <f aca="false">B30-B27</f>
        <v>50297.1077372672</v>
      </c>
      <c r="C31" s="28" t="n">
        <f aca="false">C30-C27</f>
        <v>102333.825689474</v>
      </c>
      <c r="D31" s="28" t="n">
        <f aca="false">D30-D27</f>
        <v>125704.512</v>
      </c>
      <c r="E31" s="28" t="n">
        <f aca="false">E30-E27</f>
        <v>144461.05344</v>
      </c>
      <c r="F31" s="28" t="n">
        <f aca="false">F30-F27</f>
        <v>165468.3798528</v>
      </c>
      <c r="G31" s="28" t="n">
        <f aca="false">SUM(B31:F31)</f>
        <v>588264.878719541</v>
      </c>
    </row>
    <row r="32" customFormat="false" ht="15" hidden="false" customHeight="false" outlineLevel="0" collapsed="false">
      <c r="A32" s="4" t="s">
        <v>224</v>
      </c>
      <c r="B32" s="28" t="n">
        <f aca="false">SUMIF(Monthly!$C$4:$BJ$4,1,Monthly!$C$35:$BJ$35)</f>
        <v>63000</v>
      </c>
      <c r="C32" s="28" t="n">
        <f aca="false">SUMIF(Monthly!$C$4:$BJ$4,2,Monthly!$C$35:$BJ$35)</f>
        <v>94080</v>
      </c>
      <c r="D32" s="28" t="n">
        <f aca="false">SUMIF(Monthly!$C$4:$BJ$4,3,Monthly!$C$35:$BJ$35)</f>
        <v>105369.6</v>
      </c>
      <c r="E32" s="28" t="n">
        <f aca="false">SUMIF(Monthly!$C$4:$BJ$4,4,Monthly!$C$35:$BJ$35)</f>
        <v>118013.952</v>
      </c>
      <c r="F32" s="28" t="n">
        <f aca="false">SUMIF(Monthly!$C$4:$BJ$4,5,Monthly!$C$35:$BJ$35)</f>
        <v>132175.62624</v>
      </c>
      <c r="G32" s="28" t="n">
        <f aca="false">SUM(B32:F32)</f>
        <v>512639.17824</v>
      </c>
    </row>
    <row r="33" customFormat="false" ht="15" hidden="false" customHeight="false" outlineLevel="0" collapsed="false">
      <c r="A33" s="4" t="s">
        <v>225</v>
      </c>
      <c r="B33" s="28" t="n">
        <f aca="false">B31-B32</f>
        <v>-12702.8922627328</v>
      </c>
      <c r="C33" s="28" t="n">
        <f aca="false">C31-C32</f>
        <v>8253.82568947386</v>
      </c>
      <c r="D33" s="28" t="n">
        <f aca="false">D31-D32</f>
        <v>20334.912</v>
      </c>
      <c r="E33" s="28" t="n">
        <f aca="false">E31-E32</f>
        <v>26447.1014400001</v>
      </c>
      <c r="F33" s="28" t="n">
        <f aca="false">F31-F32</f>
        <v>33292.7536128002</v>
      </c>
      <c r="G33" s="28" t="n">
        <f aca="false">SUM(B33:F33)</f>
        <v>75625.7004795413</v>
      </c>
    </row>
    <row r="35" customFormat="false" ht="15" hidden="false" customHeight="false" outlineLevel="0" collapsed="false">
      <c r="A35" s="15" t="s">
        <v>226</v>
      </c>
      <c r="B35" s="16"/>
      <c r="C35" s="16"/>
      <c r="D35" s="16"/>
      <c r="E35" s="16"/>
      <c r="F35" s="16"/>
      <c r="G35" s="16"/>
    </row>
    <row r="36" customFormat="false" ht="15" hidden="false" customHeight="false" outlineLevel="0" collapsed="false">
      <c r="A36" s="4" t="s">
        <v>227</v>
      </c>
      <c r="B36" s="28" t="n">
        <f aca="false">SUMIF(Monthly!$C$4:$BJ$4,1,Monthly!$C$15:$BJ$15)</f>
        <v>526500</v>
      </c>
      <c r="C36" s="28" t="n">
        <f aca="false">SUMIF(Monthly!$C$4:$BJ$4,2,Monthly!$C$15:$BJ$15)</f>
        <v>897480</v>
      </c>
      <c r="D36" s="28" t="n">
        <f aca="false">SUMIF(Monthly!$C$4:$BJ$4,3,Monthly!$C$15:$BJ$15)</f>
        <v>1005177.6</v>
      </c>
      <c r="E36" s="28" t="n">
        <f aca="false">SUMIF(Monthly!$C$4:$BJ$4,4,Monthly!$C$15:$BJ$15)</f>
        <v>1125798.912</v>
      </c>
      <c r="F36" s="28" t="n">
        <f aca="false">SUMIF(Monthly!$C$4:$BJ$4,5,Monthly!$C$15:$BJ$15)</f>
        <v>1260894.78144</v>
      </c>
      <c r="G36" s="28" t="n">
        <f aca="false">SUM(B36:F36)</f>
        <v>4815851.29344</v>
      </c>
    </row>
    <row r="37" customFormat="false" ht="15" hidden="false" customHeight="false" outlineLevel="0" collapsed="false">
      <c r="A37" s="4" t="s">
        <v>228</v>
      </c>
      <c r="B37" s="28" t="n">
        <f aca="false">SUMIF(Monthly!$C$4:$BJ$4,1,Monthly!$C$26:$BJ$26)</f>
        <v>340500</v>
      </c>
      <c r="C37" s="28" t="n">
        <f aca="false">SUMIF(Monthly!$C$4:$BJ$4,2,Monthly!$C$26:$BJ$26)</f>
        <v>593600</v>
      </c>
      <c r="D37" s="28" t="n">
        <f aca="false">SUMIF(Monthly!$C$4:$BJ$4,3,Monthly!$C$26:$BJ$26)</f>
        <v>664832</v>
      </c>
      <c r="E37" s="28" t="n">
        <f aca="false">SUMIF(Monthly!$C$4:$BJ$4,4,Monthly!$C$26:$BJ$26)</f>
        <v>744611.84</v>
      </c>
      <c r="F37" s="28" t="n">
        <f aca="false">SUMIF(Monthly!$C$4:$BJ$4,5,Monthly!$C$26:$BJ$26)</f>
        <v>833965.2608</v>
      </c>
      <c r="G37" s="28" t="n">
        <f aca="false">SUM(B37:F37)</f>
        <v>3177509.1008</v>
      </c>
    </row>
    <row r="38" customFormat="false" ht="15" hidden="false" customHeight="false" outlineLevel="0" collapsed="false">
      <c r="A38" s="4" t="s">
        <v>229</v>
      </c>
      <c r="B38" s="28" t="n">
        <f aca="false">SUMIF(Monthly!$C$4:$BJ$4,1,Monthly!$C$34:$BJ$34)</f>
        <v>107662.5</v>
      </c>
      <c r="C38" s="28" t="n">
        <f aca="false">SUMIF(Monthly!$C$4:$BJ$4,2,Monthly!$C$34:$BJ$34)</f>
        <v>158536</v>
      </c>
      <c r="D38" s="28" t="n">
        <f aca="false">SUMIF(Monthly!$C$4:$BJ$4,3,Monthly!$C$34:$BJ$34)</f>
        <v>177560.32</v>
      </c>
      <c r="E38" s="28" t="n">
        <f aca="false">SUMIF(Monthly!$C$4:$BJ$4,4,Monthly!$C$34:$BJ$34)</f>
        <v>198867.5584</v>
      </c>
      <c r="F38" s="28" t="n">
        <f aca="false">SUMIF(Monthly!$C$4:$BJ$4,5,Monthly!$C$34:$BJ$34)</f>
        <v>222731.665408</v>
      </c>
      <c r="G38" s="28" t="n">
        <f aca="false">SUM(B38:F38)</f>
        <v>865358.043808</v>
      </c>
    </row>
    <row r="39" customFormat="false" ht="15" hidden="false" customHeight="false" outlineLevel="0" collapsed="false">
      <c r="A39" s="4" t="s">
        <v>230</v>
      </c>
      <c r="B39" s="28" t="n">
        <f aca="false">SUMIF(Monthly!$C$4:$BJ$4,1,Monthly!$C$44:$BJ$44)</f>
        <v>14618.4914030364</v>
      </c>
      <c r="C39" s="28" t="n">
        <f aca="false">SUMIF(Monthly!$C$4:$BJ$4,2,Monthly!$C$44:$BJ$44)</f>
        <v>7359.74923391789</v>
      </c>
      <c r="D39" s="28" t="n">
        <f aca="false">SUMIF(Monthly!$C$4:$BJ$4,3,Monthly!$C$44:$BJ$44)</f>
        <v>6.40284270048142E-012</v>
      </c>
      <c r="E39" s="28" t="n">
        <f aca="false">SUMIF(Monthly!$C$4:$BJ$4,4,Monthly!$C$44:$BJ$44)</f>
        <v>6.40284270048142E-012</v>
      </c>
      <c r="F39" s="28" t="n">
        <f aca="false">SUMIF(Monthly!$C$4:$BJ$4,5,Monthly!$C$44:$BJ$44)</f>
        <v>6.40284270048142E-012</v>
      </c>
      <c r="G39" s="28" t="n">
        <f aca="false">SUM(B39:F39)</f>
        <v>21978.2406369543</v>
      </c>
    </row>
    <row r="40" customFormat="false" ht="15" hidden="false" customHeight="false" outlineLevel="0" collapsed="false">
      <c r="A40" s="4" t="s">
        <v>231</v>
      </c>
      <c r="B40" s="28" t="n">
        <f aca="false">SUMIF(Monthly!$C$4:$BJ$4,1,Monthly!$C$50:$BJ$50)</f>
        <v>0</v>
      </c>
      <c r="C40" s="28" t="n">
        <f aca="false">SUMIF(Monthly!$C$4:$BJ$4,2,Monthly!$C$50:$BJ$50)</f>
        <v>11921.9008596964</v>
      </c>
      <c r="D40" s="28" t="n">
        <f aca="false">SUMIF(Monthly!$C$4:$BJ$4,3,Monthly!$C$50:$BJ$50)</f>
        <v>11370.4250766082</v>
      </c>
      <c r="E40" s="28" t="n">
        <f aca="false">SUMIF(Monthly!$C$4:$BJ$4,4,Monthly!$C$50:$BJ$50)</f>
        <v>13967.168</v>
      </c>
      <c r="F40" s="28" t="n">
        <f aca="false">SUMIF(Monthly!$C$4:$BJ$4,5,Monthly!$C$50:$BJ$50)</f>
        <v>16051.22816</v>
      </c>
      <c r="G40" s="28" t="n">
        <f aca="false">SUM(B40:F40)</f>
        <v>53310.7220963046</v>
      </c>
    </row>
    <row r="41" customFormat="false" ht="15" hidden="false" customHeight="false" outlineLevel="0" collapsed="false">
      <c r="A41" s="7" t="s">
        <v>232</v>
      </c>
      <c r="B41" s="20" t="n">
        <f aca="false">B36-B37-B38-B39-B40</f>
        <v>63719.0085969636</v>
      </c>
      <c r="C41" s="20" t="n">
        <f aca="false">C36-C37-C38-C39-C40</f>
        <v>126062.349906386</v>
      </c>
      <c r="D41" s="20" t="n">
        <f aca="false">D36-D37-D38-D39-D40</f>
        <v>151414.854923392</v>
      </c>
      <c r="E41" s="20" t="n">
        <f aca="false">E36-E37-E38-E39-E40</f>
        <v>168352.3456</v>
      </c>
      <c r="F41" s="20" t="n">
        <f aca="false">F36-F37-F38-F39-F40</f>
        <v>188146.627072</v>
      </c>
      <c r="G41" s="20" t="n">
        <f aca="false">SUM(B41:F41)</f>
        <v>697695.186098741</v>
      </c>
    </row>
    <row r="42" customFormat="false" ht="15" hidden="false" customHeight="false" outlineLevel="0" collapsed="false">
      <c r="A42" s="4" t="s">
        <v>233</v>
      </c>
      <c r="B42" s="28" t="n">
        <f aca="false">SUMIF(Monthly!$C$4:$BJ$4,1,Monthly!$C$53:$BJ$53)</f>
        <v>-30000</v>
      </c>
      <c r="C42" s="28" t="n">
        <f aca="false">SUMIF(Monthly!$C$4:$BJ$4,2,Monthly!$C$53:$BJ$53)</f>
        <v>0</v>
      </c>
      <c r="D42" s="28" t="n">
        <f aca="false">SUMIF(Monthly!$C$4:$BJ$4,3,Monthly!$C$53:$BJ$53)</f>
        <v>0</v>
      </c>
      <c r="E42" s="28" t="n">
        <f aca="false">SUMIF(Monthly!$C$4:$BJ$4,4,Monthly!$C$53:$BJ$53)</f>
        <v>0</v>
      </c>
      <c r="F42" s="28" t="n">
        <f aca="false">SUMIF(Monthly!$C$4:$BJ$4,5,Monthly!$C$53:$BJ$53)</f>
        <v>0</v>
      </c>
      <c r="G42" s="28" t="n">
        <f aca="false">SUM(B42:F42)</f>
        <v>-30000</v>
      </c>
    </row>
    <row r="43" customFormat="false" ht="15" hidden="false" customHeight="false" outlineLevel="0" collapsed="false">
      <c r="A43" s="4" t="s">
        <v>234</v>
      </c>
      <c r="B43" s="28" t="n">
        <f aca="false">SUMIF(Monthly!$C$4:$BJ$4,1,Monthly!$C$47:$BJ$47)</f>
        <v>20000</v>
      </c>
      <c r="C43" s="28" t="n">
        <f aca="false">SUMIF(Monthly!$C$4:$BJ$4,2,Monthly!$C$47:$BJ$47)</f>
        <v>0</v>
      </c>
      <c r="D43" s="28" t="n">
        <f aca="false">SUMIF(Monthly!$C$4:$BJ$4,3,Monthly!$C$47:$BJ$47)</f>
        <v>0</v>
      </c>
      <c r="E43" s="28" t="n">
        <f aca="false">SUMIF(Monthly!$C$4:$BJ$4,4,Monthly!$C$47:$BJ$47)</f>
        <v>0</v>
      </c>
      <c r="F43" s="28" t="n">
        <f aca="false">SUMIF(Monthly!$C$4:$BJ$4,5,Monthly!$C$47:$BJ$47)</f>
        <v>0</v>
      </c>
      <c r="G43" s="28" t="n">
        <f aca="false">SUM(B43:F43)</f>
        <v>20000</v>
      </c>
    </row>
    <row r="44" customFormat="false" ht="15" hidden="false" customHeight="false" outlineLevel="0" collapsed="false">
      <c r="A44" s="4" t="s">
        <v>235</v>
      </c>
      <c r="B44" s="28" t="n">
        <f aca="false">SUMIF(Monthly!$C$4:$BJ$4,1,Monthly!$C$42:$BJ$42)</f>
        <v>100000</v>
      </c>
      <c r="C44" s="28" t="n">
        <f aca="false">SUMIF(Monthly!$C$4:$BJ$4,2,Monthly!$C$42:$BJ$42)</f>
        <v>0</v>
      </c>
      <c r="D44" s="28" t="n">
        <f aca="false">SUMIF(Monthly!$C$4:$BJ$4,3,Monthly!$C$42:$BJ$42)</f>
        <v>0</v>
      </c>
      <c r="E44" s="28" t="n">
        <f aca="false">SUMIF(Monthly!$C$4:$BJ$4,4,Monthly!$C$42:$BJ$42)</f>
        <v>0</v>
      </c>
      <c r="F44" s="28" t="n">
        <f aca="false">SUMIF(Monthly!$C$4:$BJ$4,5,Monthly!$C$42:$BJ$42)</f>
        <v>0</v>
      </c>
      <c r="G44" s="28" t="n">
        <f aca="false">SUM(B44:F44)</f>
        <v>100000</v>
      </c>
    </row>
    <row r="45" customFormat="false" ht="15" hidden="false" customHeight="false" outlineLevel="0" collapsed="false">
      <c r="A45" s="4" t="s">
        <v>236</v>
      </c>
      <c r="B45" s="28" t="n">
        <f aca="false">SUMIF(Monthly!$C$4:$BJ$4,1,Monthly!$C$45:$BJ$45)</f>
        <v>35058.231807631</v>
      </c>
      <c r="C45" s="28" t="n">
        <f aca="false">SUMIF(Monthly!$C$4:$BJ$4,2,Monthly!$C$45:$BJ$45)</f>
        <v>64941.768192369</v>
      </c>
      <c r="D45" s="28" t="n">
        <f aca="false">SUMIF(Monthly!$C$4:$BJ$4,3,Monthly!$C$45:$BJ$45)</f>
        <v>0</v>
      </c>
      <c r="E45" s="28" t="n">
        <f aca="false">SUMIF(Monthly!$C$4:$BJ$4,4,Monthly!$C$45:$BJ$45)</f>
        <v>0</v>
      </c>
      <c r="F45" s="28" t="n">
        <f aca="false">SUMIF(Monthly!$C$4:$BJ$4,5,Monthly!$C$45:$BJ$45)</f>
        <v>0</v>
      </c>
      <c r="G45" s="28" t="n">
        <f aca="false">SUM(B45:F45)</f>
        <v>100000</v>
      </c>
    </row>
    <row r="46" customFormat="false" ht="15" hidden="false" customHeight="false" outlineLevel="0" collapsed="false">
      <c r="A46" s="4" t="s">
        <v>237</v>
      </c>
      <c r="B46" s="28" t="n">
        <f aca="false">SUMIF(Monthly!$C$4:$BJ$4,1,Monthly!$C$57:$BJ$57)</f>
        <v>0</v>
      </c>
      <c r="C46" s="28" t="n">
        <f aca="false">SUMIF(Monthly!$C$4:$BJ$4,2,Monthly!$C$57:$BJ$57)</f>
        <v>0</v>
      </c>
      <c r="D46" s="28" t="n">
        <f aca="false">SUMIF(Monthly!$C$4:$BJ$4,3,Monthly!$C$57:$BJ$57)</f>
        <v>0</v>
      </c>
      <c r="E46" s="28" t="n">
        <f aca="false">SUMIF(Monthly!$C$4:$BJ$4,4,Monthly!$C$57:$BJ$57)</f>
        <v>0</v>
      </c>
      <c r="F46" s="28" t="n">
        <f aca="false">SUMIF(Monthly!$C$4:$BJ$4,5,Monthly!$C$57:$BJ$57)</f>
        <v>0</v>
      </c>
      <c r="G46" s="28" t="n">
        <f aca="false">SUM(B46:F46)</f>
        <v>0</v>
      </c>
    </row>
    <row r="47" customFormat="false" ht="15" hidden="false" customHeight="false" outlineLevel="0" collapsed="false">
      <c r="A47" s="7" t="s">
        <v>238</v>
      </c>
      <c r="B47" s="20" t="n">
        <f aca="false">B43+B44-B45+B46</f>
        <v>84941.768192369</v>
      </c>
      <c r="C47" s="20" t="n">
        <f aca="false">C43+C44-C45+C46</f>
        <v>-64941.768192369</v>
      </c>
      <c r="D47" s="20" t="n">
        <f aca="false">D43+D44-D45+D46</f>
        <v>0</v>
      </c>
      <c r="E47" s="20" t="n">
        <f aca="false">E43+E44-E45+E46</f>
        <v>0</v>
      </c>
      <c r="F47" s="20" t="n">
        <f aca="false">F43+F44-F45+F46</f>
        <v>0</v>
      </c>
      <c r="G47" s="20" t="n">
        <f aca="false">SUM(B47:F47)</f>
        <v>20000</v>
      </c>
    </row>
    <row r="48" customFormat="false" ht="15" hidden="false" customHeight="false" outlineLevel="0" collapsed="false">
      <c r="A48" s="7" t="s">
        <v>239</v>
      </c>
      <c r="B48" s="20" t="n">
        <f aca="false">B41+B42+B47</f>
        <v>118660.776789333</v>
      </c>
      <c r="C48" s="20" t="n">
        <f aca="false">C41+C42+C47</f>
        <v>61120.5817140167</v>
      </c>
      <c r="D48" s="20" t="n">
        <f aca="false">D41+D42+D47</f>
        <v>151414.854923392</v>
      </c>
      <c r="E48" s="20" t="n">
        <f aca="false">E41+E42+E47</f>
        <v>168352.3456</v>
      </c>
      <c r="F48" s="20" t="n">
        <f aca="false">F41+F42+F47</f>
        <v>188146.627072</v>
      </c>
      <c r="G48" s="20" t="n">
        <f aca="false">SUM(B48:F48)</f>
        <v>687695.186098741</v>
      </c>
    </row>
    <row r="49" customFormat="false" ht="15" hidden="false" customHeight="false" outlineLevel="0" collapsed="false">
      <c r="A49" s="7" t="s">
        <v>240</v>
      </c>
      <c r="B49" s="20" t="n">
        <f aca="false">INDEX(Monthly!$C$58:$BJ$58,1,12)</f>
        <v>118660.776789333</v>
      </c>
      <c r="C49" s="20" t="n">
        <f aca="false">INDEX(Monthly!$C$58:$BJ$58,1,24)</f>
        <v>179781.358503349</v>
      </c>
      <c r="D49" s="20" t="n">
        <f aca="false">INDEX(Monthly!$C$58:$BJ$58,1,36)</f>
        <v>331196.213426741</v>
      </c>
      <c r="E49" s="20" t="n">
        <f aca="false">INDEX(Monthly!$C$58:$BJ$58,1,48)</f>
        <v>499548.559026741</v>
      </c>
      <c r="F49" s="20" t="n">
        <f aca="false">INDEX(Monthly!$C$58:$BJ$58,1,60)</f>
        <v>687695.186098742</v>
      </c>
    </row>
    <row r="50" customFormat="false" ht="15" hidden="false" customHeight="false" outlineLevel="0" collapsed="false">
      <c r="A50" s="4" t="s">
        <v>241</v>
      </c>
      <c r="B50" s="28" t="n">
        <f aca="false">0</f>
        <v>0</v>
      </c>
      <c r="C50" s="28" t="n">
        <f aca="false">B49</f>
        <v>118660.776789333</v>
      </c>
      <c r="D50" s="28" t="n">
        <f aca="false">C49</f>
        <v>179781.358503349</v>
      </c>
      <c r="E50" s="28" t="n">
        <f aca="false">D49</f>
        <v>331196.213426741</v>
      </c>
      <c r="F50" s="28" t="n">
        <f aca="false">E49</f>
        <v>499548.559026741</v>
      </c>
    </row>
    <row r="51" customFormat="false" ht="15" hidden="false" customHeight="false" outlineLevel="0" collapsed="false">
      <c r="A51" s="4" t="s">
        <v>242</v>
      </c>
      <c r="B51" s="28" t="n">
        <f aca="false">ROUND(B50+B48-B49,2)</f>
        <v>0</v>
      </c>
      <c r="C51" s="28" t="n">
        <f aca="false">ROUND(C50+C48-C49,2)</f>
        <v>0</v>
      </c>
      <c r="D51" s="28" t="n">
        <f aca="false">ROUND(D50+D48-D49,2)</f>
        <v>0</v>
      </c>
      <c r="E51" s="28" t="n">
        <f aca="false">ROUND(E50+E48-E49,2)</f>
        <v>0</v>
      </c>
      <c r="F51" s="28" t="n">
        <f aca="false">ROUND(F50+F48-F49,2)</f>
        <v>0</v>
      </c>
    </row>
    <row r="52" customFormat="false" ht="15" hidden="false" customHeight="false" outlineLevel="0" collapsed="false">
      <c r="A52" s="4" t="s">
        <v>243</v>
      </c>
      <c r="B52" s="28" t="n">
        <f aca="false">MIN(INDEX(Monthly!$C$58:$BJ$58,1,(1-1)*12+1):INDEX(Monthly!$C$58:$BJ$58,1,1*12))</f>
        <v>17000</v>
      </c>
      <c r="C52" s="28" t="n">
        <f aca="false">MIN(INDEX(Monthly!$C$58:$BJ$58,1,(2-1)*12+1):INDEX(Monthly!$C$58:$BJ$58,1,2*12))</f>
        <v>49759.8121551598</v>
      </c>
      <c r="D52" s="28" t="n">
        <f aca="false">MIN(INDEX(Monthly!$C$58:$BJ$58,1,(3-1)*12+1):INDEX(Monthly!$C$58:$BJ$58,1,3*12))</f>
        <v>119317.600093408</v>
      </c>
      <c r="E52" s="28" t="n">
        <f aca="false">MIN(INDEX(Monthly!$C$58:$BJ$58,1,(4-1)*12+1):INDEX(Monthly!$C$58:$BJ$58,1,4*12))</f>
        <v>262244.512093408</v>
      </c>
      <c r="F52" s="28" t="n">
        <f aca="false">MIN(INDEX(Monthly!$C$58:$BJ$58,1,(5-1)*12+1):INDEX(Monthly!$C$58:$BJ$58,1,5*12))</f>
        <v>421914.653533408</v>
      </c>
    </row>
    <row r="54" customFormat="false" ht="15" hidden="false" customHeight="false" outlineLevel="0" collapsed="false">
      <c r="A54" s="15" t="s">
        <v>244</v>
      </c>
      <c r="B54" s="16"/>
      <c r="C54" s="16"/>
      <c r="D54" s="16"/>
      <c r="E54" s="16"/>
      <c r="F54" s="16"/>
      <c r="G54" s="16"/>
    </row>
    <row r="55" customFormat="false" ht="15" hidden="false" customHeight="false" outlineLevel="0" collapsed="false">
      <c r="A55" s="4" t="s">
        <v>245</v>
      </c>
      <c r="B55" s="28" t="n">
        <f aca="false">B49</f>
        <v>118660.776789333</v>
      </c>
      <c r="C55" s="28" t="n">
        <f aca="false">C49</f>
        <v>179781.358503349</v>
      </c>
      <c r="D55" s="28" t="n">
        <f aca="false">D49</f>
        <v>331196.213426741</v>
      </c>
      <c r="E55" s="28" t="n">
        <f aca="false">E49</f>
        <v>499548.559026741</v>
      </c>
      <c r="F55" s="28" t="n">
        <f aca="false">F49</f>
        <v>687695.186098742</v>
      </c>
    </row>
    <row r="56" customFormat="false" ht="15" hidden="false" customHeight="false" outlineLevel="0" collapsed="false">
      <c r="A56" s="4" t="s">
        <v>246</v>
      </c>
      <c r="B56" s="28" t="n">
        <f aca="false">INDEX(Monthly!$C$16:$BJ$16,1,12)</f>
        <v>81000</v>
      </c>
      <c r="C56" s="28" t="n">
        <f aca="false">INDEX(Monthly!$C$16:$BJ$16,1,24)</f>
        <v>90720</v>
      </c>
      <c r="D56" s="28" t="n">
        <f aca="false">INDEX(Monthly!$C$16:$BJ$16,1,36)</f>
        <v>101606.4</v>
      </c>
      <c r="E56" s="28" t="n">
        <f aca="false">INDEX(Monthly!$C$16:$BJ$16,1,48)</f>
        <v>113799.168</v>
      </c>
      <c r="F56" s="28" t="n">
        <f aca="false">INDEX(Monthly!$C$16:$BJ$16,1,60)</f>
        <v>127455.06816</v>
      </c>
    </row>
    <row r="57" customFormat="false" ht="15" hidden="false" customHeight="false" outlineLevel="0" collapsed="false">
      <c r="A57" s="4" t="s">
        <v>247</v>
      </c>
      <c r="B57" s="28" t="n">
        <f aca="false">INDEX(Monthly!$C$60:$BJ$60,1,12)</f>
        <v>295000</v>
      </c>
      <c r="C57" s="28" t="n">
        <f aca="false">INDEX(Monthly!$C$60:$BJ$60,1,24)</f>
        <v>295000</v>
      </c>
      <c r="D57" s="28" t="n">
        <f aca="false">INDEX(Monthly!$C$60:$BJ$60,1,36)</f>
        <v>295000</v>
      </c>
      <c r="E57" s="28" t="n">
        <f aca="false">INDEX(Monthly!$C$60:$BJ$60,1,48)</f>
        <v>295000</v>
      </c>
      <c r="F57" s="28" t="n">
        <f aca="false">INDEX(Monthly!$C$60:$BJ$60,1,60)</f>
        <v>295000</v>
      </c>
    </row>
    <row r="58" customFormat="false" ht="15" hidden="false" customHeight="false" outlineLevel="0" collapsed="false">
      <c r="A58" s="4" t="s">
        <v>248</v>
      </c>
      <c r="B58" s="28" t="n">
        <f aca="false">INDEX(Monthly!$C$61:$BJ$61,1,12)</f>
        <v>25500</v>
      </c>
      <c r="C58" s="28" t="n">
        <f aca="false">INDEX(Monthly!$C$61:$BJ$61,1,24)</f>
        <v>59500</v>
      </c>
      <c r="D58" s="28" t="n">
        <f aca="false">INDEX(Monthly!$C$61:$BJ$61,1,36)</f>
        <v>93500</v>
      </c>
      <c r="E58" s="28" t="n">
        <f aca="false">INDEX(Monthly!$C$61:$BJ$61,1,48)</f>
        <v>127500</v>
      </c>
      <c r="F58" s="28" t="n">
        <f aca="false">INDEX(Monthly!$C$61:$BJ$61,1,60)</f>
        <v>161500</v>
      </c>
    </row>
    <row r="59" customFormat="false" ht="15" hidden="false" customHeight="false" outlineLevel="0" collapsed="false">
      <c r="A59" s="4" t="s">
        <v>249</v>
      </c>
      <c r="B59" s="28" t="n">
        <f aca="false">B57-B58</f>
        <v>269500</v>
      </c>
      <c r="C59" s="28" t="n">
        <f aca="false">C57-C58</f>
        <v>235500</v>
      </c>
      <c r="D59" s="28" t="n">
        <f aca="false">D57-D58</f>
        <v>201500</v>
      </c>
      <c r="E59" s="28" t="n">
        <f aca="false">E57-E58</f>
        <v>167500</v>
      </c>
      <c r="F59" s="28" t="n">
        <f aca="false">F57-F58</f>
        <v>133500</v>
      </c>
    </row>
    <row r="60" customFormat="false" ht="15" hidden="false" customHeight="false" outlineLevel="0" collapsed="false">
      <c r="A60" s="7" t="s">
        <v>250</v>
      </c>
      <c r="B60" s="20" t="n">
        <f aca="false">B55+B56+B59</f>
        <v>469160.776789333</v>
      </c>
      <c r="C60" s="20" t="n">
        <f aca="false">C55+C56+C59</f>
        <v>506001.358503349</v>
      </c>
      <c r="D60" s="20" t="n">
        <f aca="false">D55+D56+D59</f>
        <v>634302.613426741</v>
      </c>
      <c r="E60" s="20" t="n">
        <f aca="false">E55+E56+E59</f>
        <v>780847.727026742</v>
      </c>
      <c r="F60" s="20" t="n">
        <f aca="false">F55+F56+F59</f>
        <v>948650.254258742</v>
      </c>
    </row>
    <row r="61" customFormat="false" ht="15" hidden="false" customHeight="false" outlineLevel="0" collapsed="false">
      <c r="A61" s="4" t="s">
        <v>251</v>
      </c>
      <c r="B61" s="28" t="n">
        <f aca="false">INDEX(Monthly!$C$46:$BJ$46,1,12)</f>
        <v>64941.768192369</v>
      </c>
      <c r="C61" s="28" t="n">
        <f aca="false">INDEX(Monthly!$C$46:$BJ$46,1,24)</f>
        <v>2.91038304567337E-011</v>
      </c>
      <c r="D61" s="28" t="n">
        <f aca="false">INDEX(Monthly!$C$46:$BJ$46,1,36)</f>
        <v>2.91038304567337E-011</v>
      </c>
      <c r="E61" s="28" t="n">
        <f aca="false">INDEX(Monthly!$C$46:$BJ$46,1,48)</f>
        <v>2.91038304567337E-011</v>
      </c>
      <c r="F61" s="28" t="n">
        <f aca="false">INDEX(Monthly!$C$46:$BJ$46,1,60)</f>
        <v>2.91038304567337E-011</v>
      </c>
    </row>
    <row r="62" customFormat="false" ht="15" hidden="false" customHeight="false" outlineLevel="0" collapsed="false">
      <c r="A62" s="4" t="s">
        <v>252</v>
      </c>
      <c r="B62" s="28" t="n">
        <f aca="false">B29</f>
        <v>11921.9008596964</v>
      </c>
      <c r="C62" s="28" t="n">
        <f aca="false">C29</f>
        <v>11370.4250766082</v>
      </c>
      <c r="D62" s="28" t="n">
        <f aca="false">D29</f>
        <v>13967.168</v>
      </c>
      <c r="E62" s="28" t="n">
        <f aca="false">E29</f>
        <v>16051.22816</v>
      </c>
      <c r="F62" s="28" t="n">
        <f aca="false">F29</f>
        <v>18385.3755392</v>
      </c>
    </row>
    <row r="63" customFormat="false" ht="15" hidden="false" customHeight="false" outlineLevel="0" collapsed="false">
      <c r="A63" s="7" t="s">
        <v>253</v>
      </c>
      <c r="B63" s="20" t="n">
        <f aca="false">B61+B62</f>
        <v>76863.6690520654</v>
      </c>
      <c r="C63" s="20" t="n">
        <f aca="false">C61+C62</f>
        <v>11370.4250766082</v>
      </c>
      <c r="D63" s="20" t="n">
        <f aca="false">D61+D62</f>
        <v>13967.168</v>
      </c>
      <c r="E63" s="20" t="n">
        <f aca="false">E61+E62</f>
        <v>16051.22816</v>
      </c>
      <c r="F63" s="20" t="n">
        <f aca="false">F61+F62</f>
        <v>18385.3755392001</v>
      </c>
    </row>
    <row r="64" customFormat="false" ht="15" hidden="false" customHeight="false" outlineLevel="0" collapsed="false">
      <c r="A64" s="4" t="s">
        <v>254</v>
      </c>
      <c r="B64" s="28" t="n">
        <f aca="false">INDEX(Monthly!$C$63:$BJ$63,1,12)</f>
        <v>20000</v>
      </c>
      <c r="C64" s="28" t="n">
        <f aca="false">INDEX(Monthly!$C$63:$BJ$63,1,24)</f>
        <v>20000</v>
      </c>
      <c r="D64" s="28" t="n">
        <f aca="false">INDEX(Monthly!$C$63:$BJ$63,1,36)</f>
        <v>20000</v>
      </c>
      <c r="E64" s="28" t="n">
        <f aca="false">INDEX(Monthly!$C$63:$BJ$63,1,48)</f>
        <v>20000</v>
      </c>
      <c r="F64" s="28" t="n">
        <f aca="false">INDEX(Monthly!$C$63:$BJ$63,1,60)</f>
        <v>20000</v>
      </c>
    </row>
    <row r="65" customFormat="false" ht="15" hidden="false" customHeight="false" outlineLevel="0" collapsed="false">
      <c r="A65" s="4" t="s">
        <v>255</v>
      </c>
      <c r="B65" s="28" t="n">
        <f aca="false">INDEX(Monthly!$C$62:$BJ$62,1,12)</f>
        <v>265000</v>
      </c>
      <c r="C65" s="28" t="n">
        <f aca="false">INDEX(Monthly!$C$62:$BJ$62,1,24)</f>
        <v>265000</v>
      </c>
      <c r="D65" s="28" t="n">
        <f aca="false">INDEX(Monthly!$C$62:$BJ$62,1,36)</f>
        <v>265000</v>
      </c>
      <c r="E65" s="28" t="n">
        <f aca="false">INDEX(Monthly!$C$62:$BJ$62,1,48)</f>
        <v>265000</v>
      </c>
      <c r="F65" s="28" t="n">
        <f aca="false">INDEX(Monthly!$C$62:$BJ$62,1,60)</f>
        <v>265000</v>
      </c>
    </row>
    <row r="66" customFormat="false" ht="15" hidden="false" customHeight="false" outlineLevel="0" collapsed="false">
      <c r="A66" s="4" t="s">
        <v>256</v>
      </c>
      <c r="B66" s="28" t="n">
        <f aca="false">INDEX(Monthly!$C$59:$BJ$59,1,12)</f>
        <v>0</v>
      </c>
      <c r="C66" s="28" t="n">
        <f aca="false">INDEX(Monthly!$C$59:$BJ$59,1,24)</f>
        <v>0</v>
      </c>
      <c r="D66" s="28" t="n">
        <f aca="false">INDEX(Monthly!$C$59:$BJ$59,1,36)</f>
        <v>0</v>
      </c>
      <c r="E66" s="28" t="n">
        <f aca="false">INDEX(Monthly!$C$59:$BJ$59,1,48)</f>
        <v>0</v>
      </c>
      <c r="F66" s="28" t="n">
        <f aca="false">INDEX(Monthly!$C$59:$BJ$59,1,60)</f>
        <v>0</v>
      </c>
    </row>
    <row r="67" customFormat="false" ht="15" hidden="false" customHeight="false" outlineLevel="0" collapsed="false">
      <c r="A67" s="4" t="s">
        <v>257</v>
      </c>
      <c r="B67" s="28" t="n">
        <f aca="false">0+B30</f>
        <v>107297.107737267</v>
      </c>
      <c r="C67" s="28" t="n">
        <f aca="false">B67+C30</f>
        <v>209630.933426741</v>
      </c>
      <c r="D67" s="28" t="n">
        <f aca="false">C67+D30</f>
        <v>335335.445426741</v>
      </c>
      <c r="E67" s="28" t="n">
        <f aca="false">D67+E30</f>
        <v>479796.498866741</v>
      </c>
      <c r="F67" s="28" t="n">
        <f aca="false">E67+F30</f>
        <v>645264.878719542</v>
      </c>
    </row>
    <row r="68" customFormat="false" ht="15" hidden="false" customHeight="false" outlineLevel="0" collapsed="false">
      <c r="A68" s="7" t="s">
        <v>258</v>
      </c>
      <c r="B68" s="20" t="n">
        <f aca="false">B64+B65+B66+B67</f>
        <v>392297.107737267</v>
      </c>
      <c r="C68" s="20" t="n">
        <f aca="false">C64+C65+C66+C67</f>
        <v>494630.933426741</v>
      </c>
      <c r="D68" s="20" t="n">
        <f aca="false">D64+D65+D66+D67</f>
        <v>620335.445426741</v>
      </c>
      <c r="E68" s="20" t="n">
        <f aca="false">E64+E65+E66+E67</f>
        <v>764796.498866741</v>
      </c>
      <c r="F68" s="20" t="n">
        <f aca="false">F64+F65+F66+F67</f>
        <v>930264.878719542</v>
      </c>
    </row>
    <row r="69" customFormat="false" ht="15" hidden="false" customHeight="false" outlineLevel="0" collapsed="false">
      <c r="A69" s="7" t="s">
        <v>259</v>
      </c>
      <c r="B69" s="20" t="n">
        <f aca="false">B63+B68</f>
        <v>469160.776789333</v>
      </c>
      <c r="C69" s="20" t="n">
        <f aca="false">C63+C68</f>
        <v>506001.358503349</v>
      </c>
      <c r="D69" s="20" t="n">
        <f aca="false">D63+D68</f>
        <v>634302.613426741</v>
      </c>
      <c r="E69" s="20" t="n">
        <f aca="false">E63+E68</f>
        <v>780847.727026741</v>
      </c>
      <c r="F69" s="20" t="n">
        <f aca="false">F63+F68</f>
        <v>948650.254258742</v>
      </c>
    </row>
    <row r="70" customFormat="false" ht="15" hidden="false" customHeight="false" outlineLevel="0" collapsed="false">
      <c r="A70" s="4" t="s">
        <v>260</v>
      </c>
      <c r="B70" s="28" t="n">
        <f aca="false">ROUND(B60-B69,2)</f>
        <v>0</v>
      </c>
      <c r="C70" s="28" t="n">
        <f aca="false">ROUND(C60-C69,2)</f>
        <v>0</v>
      </c>
      <c r="D70" s="28" t="n">
        <f aca="false">ROUND(D60-D69,2)</f>
        <v>0</v>
      </c>
      <c r="E70" s="28" t="n">
        <f aca="false">ROUND(E60-E69,2)</f>
        <v>0</v>
      </c>
      <c r="F70" s="28" t="n">
        <f aca="false">ROUND(F60-F69,2)</f>
        <v>0</v>
      </c>
    </row>
    <row r="72" customFormat="false" ht="15" hidden="false" customHeight="false" outlineLevel="0" collapsed="false">
      <c r="A72" s="15" t="s">
        <v>261</v>
      </c>
      <c r="B72" s="16"/>
      <c r="C72" s="16"/>
      <c r="D72" s="16"/>
      <c r="E72" s="16"/>
      <c r="F72" s="16"/>
      <c r="G72" s="16"/>
    </row>
    <row r="73" customFormat="false" ht="15" hidden="false" customHeight="false" outlineLevel="0" collapsed="false">
      <c r="A73" s="4" t="s">
        <v>262</v>
      </c>
      <c r="B73" s="28" t="n">
        <f aca="false">B25+B45</f>
        <v>49676.7232106674</v>
      </c>
      <c r="C73" s="28" t="n">
        <f aca="false">C25+C45</f>
        <v>72301.5174262869</v>
      </c>
      <c r="D73" s="28" t="n">
        <f aca="false">D25+D45</f>
        <v>6.40284270048142E-012</v>
      </c>
      <c r="E73" s="28" t="n">
        <f aca="false">E25+E45</f>
        <v>6.40284270048142E-012</v>
      </c>
      <c r="F73" s="28" t="n">
        <f aca="false">F25+F45</f>
        <v>6.40284270048142E-012</v>
      </c>
      <c r="G73" s="28" t="n">
        <f aca="false">SUM(B73:F73)</f>
        <v>121978.240636954</v>
      </c>
    </row>
    <row r="74" customFormat="false" ht="15" hidden="false" customHeight="false" outlineLevel="0" collapsed="false">
      <c r="A74" s="4" t="s">
        <v>263</v>
      </c>
      <c r="B74" s="26" t="n">
        <f aca="false">IF(B73&lt;1,"n/a",(B22-B40)/B73)</f>
        <v>2.06006945276987</v>
      </c>
      <c r="C74" s="26" t="n">
        <f aca="false">IF(C73&lt;1,"n/a",(C22-C40)/C73)</f>
        <v>1.97979384438564</v>
      </c>
      <c r="D74" s="26" t="str">
        <f aca="false">IF(D73&lt;1,"n/a",(D22-D40)/D73)</f>
        <v>n/a</v>
      </c>
      <c r="E74" s="26" t="str">
        <f aca="false">IF(E73&lt;1,"n/a",(E22-E40)/E73)</f>
        <v>n/a</v>
      </c>
      <c r="F74" s="26" t="str">
        <f aca="false">IF(F73&lt;1,"n/a",(F22-F40)/F73)</f>
        <v>n/a</v>
      </c>
    </row>
    <row r="75" customFormat="false" ht="15" hidden="false" customHeight="false" outlineLevel="0" collapsed="false">
      <c r="A75" s="4" t="s">
        <v>264</v>
      </c>
      <c r="B75" s="30" t="n">
        <f aca="false">IF(B6=0,0,B31/B6)</f>
        <v>0.0827935929831559</v>
      </c>
      <c r="C75" s="30" t="n">
        <f aca="false">IF(C6=0,0,C31/C6)</f>
        <v>0.112801836077462</v>
      </c>
      <c r="D75" s="30" t="n">
        <f aca="false">IF(D6=0,0,D31/D6)</f>
        <v>0.123717120181406</v>
      </c>
      <c r="E75" s="30" t="n">
        <f aca="false">IF(E6=0,0,E31/E6)</f>
        <v>0.126943857304827</v>
      </c>
      <c r="F75" s="30" t="n">
        <f aca="false">IF(F6=0,0,F31/F6)</f>
        <v>0.129824872593595</v>
      </c>
    </row>
    <row r="77" customFormat="false" ht="15" hidden="false" customHeight="false" outlineLevel="0" collapsed="false">
      <c r="A77" s="7" t="s">
        <v>265</v>
      </c>
    </row>
    <row r="78" customFormat="false" ht="15" hidden="false" customHeight="false" outlineLevel="0" collapsed="false">
      <c r="A78" s="4" t="s">
        <v>154</v>
      </c>
      <c r="B78" s="28" t="n">
        <f aca="false">SUMIF(Monthly!$C$4:$BJ$4,1,Monthly!$C$11:$BJ$11)</f>
        <v>1500</v>
      </c>
      <c r="C78" s="28" t="n">
        <f aca="false">SUMIF(Monthly!$C$4:$BJ$4,2,Monthly!$C$11:$BJ$11)</f>
        <v>2000</v>
      </c>
      <c r="D78" s="28" t="n">
        <f aca="false">SUMIF(Monthly!$C$4:$BJ$4,3,Monthly!$C$11:$BJ$11)</f>
        <v>2000</v>
      </c>
      <c r="E78" s="28" t="n">
        <f aca="false">SUMIF(Monthly!$C$4:$BJ$4,4,Monthly!$C$11:$BJ$11)</f>
        <v>2000</v>
      </c>
      <c r="F78" s="28" t="n">
        <f aca="false">SUMIF(Monthly!$C$4:$BJ$4,5,Monthly!$C$11:$BJ$11)</f>
        <v>2000</v>
      </c>
      <c r="G78" s="28" t="n">
        <f aca="false">SUM(B78:F78)</f>
        <v>9500</v>
      </c>
    </row>
    <row r="79" customFormat="false" ht="15" hidden="false" customHeight="false" outlineLevel="0" collapsed="false">
      <c r="A79" s="4" t="s">
        <v>266</v>
      </c>
      <c r="B79" s="28" t="n">
        <f aca="false">SUMIF(Monthly!$C$4:$BJ$4,1,Monthly!$C$12:$BJ$12)</f>
        <v>1350</v>
      </c>
      <c r="C79" s="28" t="n">
        <f aca="false">SUMIF(Monthly!$C$4:$BJ$4,2,Monthly!$C$12:$BJ$12)</f>
        <v>1800</v>
      </c>
      <c r="D79" s="28" t="n">
        <f aca="false">SUMIF(Monthly!$C$4:$BJ$4,3,Monthly!$C$12:$BJ$12)</f>
        <v>1800</v>
      </c>
      <c r="E79" s="28" t="n">
        <f aca="false">SUMIF(Monthly!$C$4:$BJ$4,4,Monthly!$C$12:$BJ$12)</f>
        <v>1800</v>
      </c>
      <c r="F79" s="28" t="n">
        <f aca="false">SUMIF(Monthly!$C$4:$BJ$4,5,Monthly!$C$12:$BJ$12)</f>
        <v>1800</v>
      </c>
      <c r="G79" s="28" t="n">
        <f aca="false">SUM(B79:F79)</f>
        <v>8550</v>
      </c>
    </row>
    <row r="80" customFormat="false" ht="15" hidden="false" customHeight="false" outlineLevel="0" collapsed="false">
      <c r="A80" s="4" t="s">
        <v>267</v>
      </c>
      <c r="B80" s="28" t="n">
        <f aca="false">SUMIF(Monthly!$C$4:$BJ$4,1,Monthly!$C$10:$BJ$10)</f>
        <v>3</v>
      </c>
      <c r="C80" s="28" t="n">
        <f aca="false">SUMIF(Monthly!$C$4:$BJ$4,2,Monthly!$C$10:$BJ$10)</f>
        <v>4</v>
      </c>
      <c r="D80" s="28" t="n">
        <f aca="false">SUMIF(Monthly!$C$4:$BJ$4,3,Monthly!$C$10:$BJ$10)</f>
        <v>4</v>
      </c>
      <c r="E80" s="28" t="n">
        <f aca="false">SUMIF(Monthly!$C$4:$BJ$4,4,Monthly!$C$10:$BJ$10)</f>
        <v>4</v>
      </c>
      <c r="F80" s="28" t="n">
        <f aca="false">SUMIF(Monthly!$C$4:$BJ$4,5,Monthly!$C$10:$BJ$10)</f>
        <v>4</v>
      </c>
      <c r="G80" s="28" t="n">
        <f aca="false">SUM(B80:F80)</f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7" min="2" style="0" width="14"/>
  </cols>
  <sheetData>
    <row r="1" customFormat="false" ht="15" hidden="false" customHeight="false" outlineLevel="0" collapsed="false">
      <c r="A1" s="1" t="s">
        <v>268</v>
      </c>
    </row>
    <row r="3" customFormat="false" ht="15" hidden="false" customHeight="false" outlineLevel="0" collapsed="false">
      <c r="A3" s="3"/>
      <c r="B3" s="3" t="s">
        <v>269</v>
      </c>
      <c r="C3" s="3" t="s">
        <v>204</v>
      </c>
      <c r="D3" s="3" t="s">
        <v>205</v>
      </c>
      <c r="E3" s="3" t="s">
        <v>206</v>
      </c>
      <c r="F3" s="3" t="s">
        <v>207</v>
      </c>
      <c r="G3" s="3" t="s">
        <v>208</v>
      </c>
    </row>
    <row r="4" customFormat="false" ht="15" hidden="false" customHeight="false" outlineLevel="0" collapsed="false">
      <c r="A4" s="7" t="s">
        <v>270</v>
      </c>
    </row>
    <row r="5" customFormat="false" ht="15" hidden="false" customHeight="false" outlineLevel="0" collapsed="false">
      <c r="A5" s="4" t="s">
        <v>271</v>
      </c>
      <c r="B5" s="28" t="n">
        <f aca="false">-(Assumptions!$F$36+Assumptions!$F$37)</f>
        <v>-295000</v>
      </c>
      <c r="C5" s="28" t="n">
        <v>0</v>
      </c>
      <c r="D5" s="28" t="n">
        <v>0</v>
      </c>
      <c r="E5" s="28" t="n">
        <v>0</v>
      </c>
      <c r="F5" s="28" t="n">
        <v>0</v>
      </c>
      <c r="G5" s="28" t="n">
        <v>0</v>
      </c>
    </row>
    <row r="6" customFormat="false" ht="15" hidden="false" customHeight="false" outlineLevel="0" collapsed="false">
      <c r="A6" s="4" t="s">
        <v>175</v>
      </c>
      <c r="B6" s="28" t="n">
        <v>0</v>
      </c>
      <c r="C6" s="28" t="n">
        <f aca="false">Annual!B22</f>
        <v>102337.5</v>
      </c>
      <c r="D6" s="28" t="n">
        <f aca="false">Annual!C22</f>
        <v>155064</v>
      </c>
      <c r="E6" s="28" t="n">
        <f aca="false">Annual!D22</f>
        <v>173671.68</v>
      </c>
      <c r="F6" s="28" t="n">
        <f aca="false">Annual!E22</f>
        <v>194512.2816</v>
      </c>
      <c r="G6" s="28" t="n">
        <f aca="false">Annual!F22</f>
        <v>217853.755392</v>
      </c>
    </row>
    <row r="7" customFormat="false" ht="15" hidden="false" customHeight="false" outlineLevel="0" collapsed="false">
      <c r="A7" s="4" t="s">
        <v>272</v>
      </c>
      <c r="B7" s="28" t="n">
        <v>0</v>
      </c>
      <c r="C7" s="28" t="n">
        <f aca="false">-Annual!B40</f>
        <v>-0</v>
      </c>
      <c r="D7" s="28" t="n">
        <f aca="false">-Annual!C40</f>
        <v>-11921.9008596964</v>
      </c>
      <c r="E7" s="28" t="n">
        <f aca="false">-Annual!D40</f>
        <v>-11370.4250766082</v>
      </c>
      <c r="F7" s="28" t="n">
        <f aca="false">-Annual!E40</f>
        <v>-13967.168</v>
      </c>
      <c r="G7" s="28" t="n">
        <f aca="false">-Annual!F40</f>
        <v>-16051.22816</v>
      </c>
    </row>
    <row r="8" customFormat="false" ht="15" hidden="false" customHeight="false" outlineLevel="0" collapsed="false">
      <c r="A8" s="4" t="s">
        <v>273</v>
      </c>
      <c r="B8" s="28" t="n">
        <v>0</v>
      </c>
      <c r="C8" s="28" t="n">
        <f aca="false">-((Annual!B56)-(0))</f>
        <v>-81000</v>
      </c>
      <c r="D8" s="28" t="n">
        <f aca="false">-((Annual!C56)-(Annual!B56))</f>
        <v>-9720.00000000003</v>
      </c>
      <c r="E8" s="28" t="n">
        <f aca="false">-((Annual!D56)-(Annual!C56))</f>
        <v>-10886.4</v>
      </c>
      <c r="F8" s="28" t="n">
        <f aca="false">-((Annual!E56)-(Annual!D56))</f>
        <v>-12192.768</v>
      </c>
      <c r="G8" s="28" t="n">
        <f aca="false">-((Annual!F56)-(Annual!E56))</f>
        <v>-13655.90016</v>
      </c>
    </row>
    <row r="9" customFormat="false" ht="15" hidden="false" customHeight="false" outlineLevel="0" collapsed="false">
      <c r="A9" s="4" t="s">
        <v>274</v>
      </c>
      <c r="B9" s="28" t="n">
        <v>0</v>
      </c>
      <c r="C9" s="28" t="n">
        <v>0</v>
      </c>
      <c r="D9" s="28" t="n">
        <v>0</v>
      </c>
      <c r="E9" s="28" t="n">
        <v>0</v>
      </c>
      <c r="F9" s="28" t="n">
        <v>0</v>
      </c>
      <c r="G9" s="28" t="n">
        <f aca="false">Annual!F59+Annual!F56</f>
        <v>260955.06816</v>
      </c>
    </row>
    <row r="10" customFormat="false" ht="15" hidden="false" customHeight="false" outlineLevel="0" collapsed="false">
      <c r="A10" s="7" t="s">
        <v>194</v>
      </c>
      <c r="B10" s="20" t="n">
        <f aca="false">SUM(B5:B9)</f>
        <v>-295000</v>
      </c>
      <c r="C10" s="20" t="n">
        <f aca="false">SUM(C5:C9)</f>
        <v>21337.5</v>
      </c>
      <c r="D10" s="20" t="n">
        <f aca="false">SUM(D5:D9)</f>
        <v>133422.099140304</v>
      </c>
      <c r="E10" s="20" t="n">
        <f aca="false">SUM(E5:E9)</f>
        <v>151414.854923392</v>
      </c>
      <c r="F10" s="20" t="n">
        <f aca="false">SUM(F5:F9)</f>
        <v>168352.3456</v>
      </c>
      <c r="G10" s="20" t="n">
        <f aca="false">SUM(G5:G9)</f>
        <v>449101.695232</v>
      </c>
    </row>
    <row r="11" customFormat="false" ht="15" hidden="false" customHeight="false" outlineLevel="0" collapsed="false">
      <c r="A11" s="4" t="s">
        <v>275</v>
      </c>
      <c r="B11" s="28" t="n">
        <f aca="false">B10</f>
        <v>-295000</v>
      </c>
      <c r="C11" s="28" t="n">
        <f aca="false">B11+C10</f>
        <v>-273662.5</v>
      </c>
      <c r="D11" s="28" t="n">
        <f aca="false">C11+D10</f>
        <v>-140240.400859696</v>
      </c>
      <c r="E11" s="28" t="n">
        <f aca="false">D11+E10</f>
        <v>11174.4540636954</v>
      </c>
      <c r="F11" s="28" t="n">
        <f aca="false">E11+F10</f>
        <v>179526.799663696</v>
      </c>
      <c r="G11" s="28" t="n">
        <f aca="false">F11+G10</f>
        <v>628628.494895696</v>
      </c>
    </row>
    <row r="13" customFormat="false" ht="15" hidden="false" customHeight="false" outlineLevel="0" collapsed="false">
      <c r="A13" s="7" t="s">
        <v>276</v>
      </c>
    </row>
    <row r="14" customFormat="false" ht="15" hidden="false" customHeight="false" outlineLevel="0" collapsed="false">
      <c r="A14" s="4" t="s">
        <v>277</v>
      </c>
      <c r="B14" s="28" t="n">
        <f aca="false">-(Assumptions!$F$37-Assumptions!$F$38)</f>
        <v>-30000</v>
      </c>
      <c r="C14" s="28" t="n">
        <v>0</v>
      </c>
      <c r="D14" s="28" t="n">
        <v>0</v>
      </c>
      <c r="E14" s="28" t="n">
        <v>0</v>
      </c>
      <c r="F14" s="28" t="n">
        <v>0</v>
      </c>
      <c r="G14" s="28" t="n">
        <v>0</v>
      </c>
    </row>
    <row r="15" customFormat="false" ht="15" hidden="false" customHeight="false" outlineLevel="0" collapsed="false">
      <c r="A15" s="4" t="s">
        <v>278</v>
      </c>
      <c r="B15" s="28" t="n">
        <v>0</v>
      </c>
      <c r="C15" s="28" t="n">
        <f aca="false">C6+Annual!B27+C7+C8</f>
        <v>78337.5</v>
      </c>
      <c r="D15" s="28" t="n">
        <f aca="false">D6+Annual!C27+D7+D8</f>
        <v>133422.099140304</v>
      </c>
      <c r="E15" s="28" t="n">
        <f aca="false">E6+Annual!D27+E7+E8</f>
        <v>151414.854923392</v>
      </c>
      <c r="F15" s="28" t="n">
        <f aca="false">F6+Annual!E27+F7+F8</f>
        <v>168352.3456</v>
      </c>
      <c r="G15" s="28" t="n">
        <f aca="false">G6+Annual!F27+G7+G8</f>
        <v>188146.627072</v>
      </c>
    </row>
    <row r="16" customFormat="false" ht="15" hidden="false" customHeight="false" outlineLevel="0" collapsed="false">
      <c r="A16" s="4" t="s">
        <v>279</v>
      </c>
      <c r="B16" s="28" t="n">
        <v>0</v>
      </c>
      <c r="C16" s="28" t="n">
        <v>0</v>
      </c>
      <c r="D16" s="28" t="n">
        <v>0</v>
      </c>
      <c r="E16" s="28" t="n">
        <v>0</v>
      </c>
      <c r="F16" s="28" t="n">
        <v>0</v>
      </c>
      <c r="G16" s="28" t="n">
        <f aca="false">G9</f>
        <v>260955.06816</v>
      </c>
    </row>
    <row r="17" customFormat="false" ht="15" hidden="false" customHeight="false" outlineLevel="0" collapsed="false">
      <c r="A17" s="7" t="s">
        <v>194</v>
      </c>
      <c r="B17" s="20" t="n">
        <f aca="false">SUM(B14:B16)</f>
        <v>-30000</v>
      </c>
      <c r="C17" s="20" t="n">
        <f aca="false">SUM(C14:C16)</f>
        <v>78337.5</v>
      </c>
      <c r="D17" s="20" t="n">
        <f aca="false">SUM(D14:D16)</f>
        <v>133422.099140304</v>
      </c>
      <c r="E17" s="20" t="n">
        <f aca="false">SUM(E14:E16)</f>
        <v>151414.854923392</v>
      </c>
      <c r="F17" s="20" t="n">
        <f aca="false">SUM(F14:F16)</f>
        <v>168352.3456</v>
      </c>
      <c r="G17" s="20" t="n">
        <f aca="false">SUM(G14:G16)</f>
        <v>449101.695232</v>
      </c>
    </row>
    <row r="18" customFormat="false" ht="15" hidden="false" customHeight="false" outlineLevel="0" collapsed="false">
      <c r="A18" s="4" t="s">
        <v>275</v>
      </c>
      <c r="B18" s="28" t="n">
        <f aca="false">B17</f>
        <v>-30000</v>
      </c>
      <c r="C18" s="28" t="n">
        <f aca="false">B18+C17</f>
        <v>48337.5</v>
      </c>
      <c r="D18" s="28" t="n">
        <f aca="false">C18+D17</f>
        <v>181759.599140304</v>
      </c>
      <c r="E18" s="28" t="n">
        <f aca="false">D18+E17</f>
        <v>333174.454063695</v>
      </c>
      <c r="F18" s="28" t="n">
        <f aca="false">E18+F17</f>
        <v>501526.799663696</v>
      </c>
      <c r="G18" s="28" t="n">
        <f aca="false">F18+G17</f>
        <v>950628.494895696</v>
      </c>
    </row>
    <row r="20" customFormat="false" ht="15" hidden="false" customHeight="false" outlineLevel="0" collapsed="false">
      <c r="A20" s="7" t="s">
        <v>280</v>
      </c>
    </row>
    <row r="21" customFormat="false" ht="15" hidden="false" customHeight="false" outlineLevel="0" collapsed="false">
      <c r="A21" s="4" t="s">
        <v>281</v>
      </c>
      <c r="B21" s="22" t="n">
        <f aca="false">Assumptions!$F$52</f>
        <v>0.25</v>
      </c>
    </row>
    <row r="22" customFormat="false" ht="15" hidden="false" customHeight="false" outlineLevel="0" collapsed="false">
      <c r="A22" s="4" t="s">
        <v>282</v>
      </c>
      <c r="B22" s="20" t="n">
        <f aca="false">B10+NPV(Assumptions!$F$52,C10:G10)</f>
        <v>101103.313421953</v>
      </c>
    </row>
    <row r="23" customFormat="false" ht="15" hidden="false" customHeight="false" outlineLevel="0" collapsed="false">
      <c r="A23" s="4" t="s">
        <v>283</v>
      </c>
      <c r="B23" s="22" t="n">
        <f aca="false">IFERROR(IRR(B10:G10),"not defined")</f>
        <v>0.35834802041174</v>
      </c>
    </row>
    <row r="24" customFormat="false" ht="15" hidden="false" customHeight="false" outlineLevel="0" collapsed="false">
      <c r="A24" s="4" t="s">
        <v>284</v>
      </c>
      <c r="B24" s="24" t="n">
        <f aca="false">IF(G11&lt;0,"&gt; 5 years",COUNTIF(C11:G11,"&lt;0")+(-INDEX(B11:G11,1,COUNTIF(C11:G11,"&lt;0")+1))/INDEX(C10:G10,1,COUNTIF(C11:G11,"&lt;0")+1))</f>
        <v>2.92619975055057</v>
      </c>
    </row>
    <row r="25" customFormat="false" ht="15" hidden="false" customHeight="false" outlineLevel="0" collapsed="false">
      <c r="A25" s="4" t="s">
        <v>285</v>
      </c>
      <c r="B25" s="20" t="n">
        <f aca="false">B17+NPV(Assumptions!$F$52,C17:G17)</f>
        <v>411703.313421953</v>
      </c>
    </row>
    <row r="26" customFormat="false" ht="15" hidden="false" customHeight="false" outlineLevel="0" collapsed="false">
      <c r="A26" s="4" t="s">
        <v>286</v>
      </c>
      <c r="B26" s="22" t="n">
        <f aca="false">IFERROR(IRR(B17:G17),"not defined")</f>
        <v>3.12016839675334</v>
      </c>
    </row>
    <row r="27" customFormat="false" ht="15" hidden="false" customHeight="false" outlineLevel="0" collapsed="false">
      <c r="A27" s="4" t="s">
        <v>287</v>
      </c>
      <c r="B27" s="24" t="n">
        <f aca="false">IF(G18&lt;0,"&gt; 5 years",COUNTIF(C18:G18,"&lt;0")+(-INDEX(B18:G18,1,COUNTIF(C18:G18,"&lt;0")+1))/INDEX(C17:G17,1,COUNTIF(C18:G18,"&lt;0")+1))</f>
        <v>0.382958353279081</v>
      </c>
    </row>
    <row r="29" customFormat="false" ht="15" hidden="false" customHeight="false" outlineLevel="0" collapsed="false">
      <c r="A29" s="31" t="s">
        <v>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1" t="s">
        <v>289</v>
      </c>
    </row>
    <row r="3" customFormat="false" ht="15" hidden="false" customHeight="false" outlineLevel="0" collapsed="false">
      <c r="A3" s="4" t="s">
        <v>290</v>
      </c>
      <c r="B3" s="20" t="n">
        <f aca="false">Assumptions!$F$17+Assumptions!$F$14*Assumptions!$F$18+Assumptions!$F$19+(Assumptions!$F$20+Assumptions!$F$21+Assumptions!$F$22)/Assumptions!$F$12</f>
        <v>265</v>
      </c>
    </row>
    <row r="4" customFormat="false" ht="15" hidden="false" customHeight="false" outlineLevel="0" collapsed="false">
      <c r="A4" s="4" t="s">
        <v>291</v>
      </c>
      <c r="B4" s="20" t="n">
        <f aca="false">B3/(1-Assumptions!$F$13)</f>
        <v>294.444444444444</v>
      </c>
    </row>
    <row r="5" customFormat="false" ht="15" hidden="false" customHeight="false" outlineLevel="0" collapsed="false">
      <c r="A5" s="4" t="s">
        <v>292</v>
      </c>
      <c r="B5" s="20" t="n">
        <f aca="false">Assumptions!$F$23</f>
        <v>450</v>
      </c>
    </row>
    <row r="6" customFormat="false" ht="15" hidden="false" customHeight="false" outlineLevel="0" collapsed="false">
      <c r="A6" s="4" t="s">
        <v>293</v>
      </c>
      <c r="B6" s="20" t="n">
        <f aca="false">B5-B4</f>
        <v>155.555555555556</v>
      </c>
    </row>
    <row r="7" customFormat="false" ht="15" hidden="false" customHeight="false" outlineLevel="0" collapsed="false">
      <c r="A7" s="4" t="s">
        <v>294</v>
      </c>
      <c r="B7" s="22" t="n">
        <f aca="false">IF(B5=0,0,B6/B5)</f>
        <v>0.345679012345679</v>
      </c>
    </row>
    <row r="8" customFormat="false" ht="15" hidden="false" customHeight="false" outlineLevel="0" collapsed="false">
      <c r="A8" s="4" t="s">
        <v>295</v>
      </c>
      <c r="B8" s="20" t="n">
        <f aca="false">Assumptions!$F$14*Assumptions!$F$18/(1-Assumptions!$F$13)</f>
        <v>151.111111111111</v>
      </c>
    </row>
    <row r="9" customFormat="false" ht="15" hidden="false" customHeight="false" outlineLevel="0" collapsed="false">
      <c r="A9" s="4" t="s">
        <v>296</v>
      </c>
      <c r="B9" s="20" t="n">
        <f aca="false">Assumptions!$F$17/(1-Assumptions!$F$13)</f>
        <v>111.111111111111</v>
      </c>
    </row>
    <row r="10" customFormat="false" ht="15" hidden="false" customHeight="false" outlineLevel="0" collapsed="false">
      <c r="A10" s="4" t="s">
        <v>297</v>
      </c>
      <c r="B10" s="20" t="n">
        <f aca="false">Annual!C21/(1+Assumptions!$F$26)</f>
        <v>141550</v>
      </c>
    </row>
    <row r="11" customFormat="false" ht="15" hidden="false" customHeight="false" outlineLevel="0" collapsed="false">
      <c r="A11" s="4" t="s">
        <v>298</v>
      </c>
      <c r="B11" s="20" t="n">
        <f aca="false">Annual!C23</f>
        <v>34000</v>
      </c>
    </row>
    <row r="12" customFormat="false" ht="15" hidden="false" customHeight="false" outlineLevel="0" collapsed="false">
      <c r="A12" s="4" t="s">
        <v>299</v>
      </c>
      <c r="B12" s="20" t="n">
        <f aca="false">Annual!C25</f>
        <v>7359.74923391789</v>
      </c>
    </row>
    <row r="13" customFormat="false" ht="15" hidden="false" customHeight="false" outlineLevel="0" collapsed="false">
      <c r="A13" s="4" t="s">
        <v>300</v>
      </c>
      <c r="B13" s="20" t="n">
        <f aca="false">IF(B6&lt;=0,"no break-even",(B10+B11+B12)/B6)</f>
        <v>1175.84838793233</v>
      </c>
    </row>
    <row r="14" customFormat="false" ht="15" hidden="false" customHeight="false" outlineLevel="0" collapsed="false">
      <c r="A14" s="4" t="s">
        <v>301</v>
      </c>
      <c r="B14" s="20" t="n">
        <f aca="false">IF(ISNUMBER(B13),B13*B5,"n/a")</f>
        <v>529131.774569548</v>
      </c>
    </row>
    <row r="15" customFormat="false" ht="15" hidden="false" customHeight="false" outlineLevel="0" collapsed="false">
      <c r="A15" s="4" t="s">
        <v>302</v>
      </c>
      <c r="B15" s="24" t="n">
        <f aca="false">IF(ISNUMBER(B13),B13/(Assumptions!$F$12*(1-Assumptions!$F$13)),"n/a")</f>
        <v>2.6129964176274</v>
      </c>
    </row>
    <row r="16" customFormat="false" ht="15" hidden="false" customHeight="false" outlineLevel="0" collapsed="false">
      <c r="A16" s="4" t="s">
        <v>303</v>
      </c>
      <c r="B16" s="20" t="n">
        <f aca="false">IF(B6&lt;=0,"no break-even",(B10+B12+Annual!C45)/B6)</f>
        <v>1374.75975488327</v>
      </c>
    </row>
    <row r="17" customFormat="false" ht="15" hidden="false" customHeight="false" outlineLevel="0" collapsed="false">
      <c r="A17" s="4" t="s">
        <v>304</v>
      </c>
      <c r="B17" s="20" t="n">
        <f aca="false">Annual!C79</f>
        <v>1800</v>
      </c>
    </row>
    <row r="18" customFormat="false" ht="15" hidden="false" customHeight="false" outlineLevel="0" collapsed="false">
      <c r="A18" s="4" t="s">
        <v>305</v>
      </c>
      <c r="B18" s="22" t="n">
        <f aca="false">IF(ISNUMBER(B13),(B17-B13)/B17,"n/a")</f>
        <v>0.34675089559315</v>
      </c>
    </row>
    <row r="19" customFormat="false" ht="15" hidden="false" customHeight="false" outlineLevel="0" collapsed="false">
      <c r="A19" s="4" t="s">
        <v>306</v>
      </c>
      <c r="B19" s="20" t="n">
        <f aca="false">B4+(B10+B11+B12)/B17</f>
        <v>396.060971796621</v>
      </c>
    </row>
    <row r="20" customFormat="false" ht="15" hidden="false" customHeight="false" outlineLevel="0" collapsed="false">
      <c r="A20" s="4" t="s">
        <v>307</v>
      </c>
      <c r="B20" s="22" t="n">
        <f aca="false">(B3*Annual!C78+B10+B11+B12)/(Annual!C78*B5)</f>
        <v>0.792121943593242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2026-10-23T06:55:20Z</dcterms:created>
  <dc:creator>openpyxl</dc:creator>
  <dc:description/>
  <dc:language>en-US</dc:language>
  <cp:lastModifiedBy/>
  <dcterms:modified xsi:type="dcterms:W3CDTF">2026-10-23T06:55:20Z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